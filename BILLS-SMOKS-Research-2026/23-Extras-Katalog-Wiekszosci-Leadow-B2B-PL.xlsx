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31077da8e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907aae51f1d4403"/>
    <x:sheet xmlns:r="http://schemas.openxmlformats.org/officeDocument/2006/relationships" name="Top 50" sheetId="2" r:id="Rb65c64992d2d467d"/>
    <x:sheet xmlns:r="http://schemas.openxmlformats.org/officeDocument/2006/relationships" name="Leady B2B" sheetId="3" r:id="R76ea8db9744842e4"/>
    <x:sheet xmlns:r="http://schemas.openxmlformats.org/officeDocument/2006/relationships" name="Mapa region × segment" sheetId="4" r:id="R9ca8d64ad3374cce"/>
    <x:sheet xmlns:r="http://schemas.openxmlformats.org/officeDocument/2006/relationships" name="Braki kontaktowe" sheetId="5" r:id="R62eb592ea42a460d"/>
    <x:sheet xmlns:r="http://schemas.openxmlformats.org/officeDocument/2006/relationships" name="Model scoringu" sheetId="6" r:id="Ra10ce6074dc8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1F2937"/>
      <x:name val="Carlito"/>
    </x:font>
    <x:font>
      <x:b/>
      <x:sz val="14"/>
      <x:color rgb="FF16324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/>
    <x:xf numFmtId="200" fontId="0" fillId="0" borderId="16" xfId="0" applyNumberFormat="1" applyFont="1" applyFill="1" applyBorder="1"/>
    <x:xf numFmtId="200" fontId="0" fillId="0" borderId="8" xfId="0" applyNumberFormat="1" applyFont="1" applyFill="1" applyBorder="1" applyAlignment="1">
      <x:alignment vertical="top"/>
    </x:xf>
    <x:xf numFmtId="200" fontId="0" fillId="0" borderId="16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7" xfId="0" applyNumberFormat="1" applyFont="1" applyFill="1" applyBorder="1" applyAlignment="1">
      <x:alignment horizontal="center" vertical="top"/>
    </x:xf>
    <x:xf numFmtId="0" fontId="0" fillId="0" borderId="8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5" xfId="0" applyNumberFormat="1" applyFont="1" applyFill="1" applyBorder="1" applyAlignment="1">
      <x:alignment horizontal="center" vertical="top"/>
    </x:xf>
    <x:xf numFmtId="0" fontId="0" fillId="0" borderId="16" xfId="0" applyNumberFormat="1" applyFont="1" applyFill="1" applyBorder="1" applyAlignment="1">
      <x:alignment horizontal="center" vertical="top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/>
    <x:xf numFmtId="0" fontId="5" fillId="0" borderId="9" xfId="0" applyNumberFormat="1" applyFont="1" applyFill="1" applyBorder="1"/>
    <x:xf numFmtId="0" fontId="5" fillId="0" borderId="6" xfId="0" applyNumberFormat="1" applyFont="1" applyFill="1" applyBorder="1" applyAlignment="1">
      <x:alignment horizontal="center"/>
    </x:xf>
    <x:xf numFmtId="0" fontId="5" fillId="0" borderId="9" xfId="0" applyNumberFormat="1" applyFont="1" applyFill="1" applyBorder="1" applyAlignment="1">
      <x:alignment horizont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/>
    <x:xf numFmtId="0" fontId="5" fillId="0" borderId="17" xfId="0" applyNumberFormat="1" applyFont="1" applyFill="1" applyBorder="1"/>
    <x:xf numFmtId="0" fontId="5" fillId="0" borderId="14" xfId="0" applyNumberFormat="1" applyFont="1" applyFill="1" applyBorder="1" applyAlignment="1">
      <x:alignment horizontal="center"/>
    </x:xf>
    <x:xf numFmtId="0" fontId="5" fillId="0" borderId="17" xfId="0" applyNumberFormat="1" applyFont="1" applyFill="1" applyBorder="1" applyAlignment="1">
      <x:alignment horizont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5" fillId="0" borderId="17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horizontal="center"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horizontal="center" vertical="top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EAF2F8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2342736b14d45" /><Relationship Type="http://schemas.openxmlformats.org/officeDocument/2006/relationships/theme" Target="/xl/theme/theme1.xml" Id="R309ac6f46dd54d08" /><Relationship Type="http://schemas.openxmlformats.org/officeDocument/2006/relationships/sharedStrings" Target="/xl/sharedStrings.xml" Id="Ra00aeeae0a9b4a0e" /><Relationship Type="http://schemas.openxmlformats.org/officeDocument/2006/relationships/worksheet" Target="/xl/worksheets/sheet1.xml" Id="R7907aae51f1d4403" /><Relationship Type="http://schemas.openxmlformats.org/officeDocument/2006/relationships/worksheet" Target="/xl/worksheets/sheet2.xml" Id="Rb65c64992d2d467d" /><Relationship Type="http://schemas.openxmlformats.org/officeDocument/2006/relationships/worksheet" Target="/xl/worksheets/sheet3.xml" Id="R76ea8db9744842e4" /><Relationship Type="http://schemas.openxmlformats.org/officeDocument/2006/relationships/worksheet" Target="/xl/worksheets/sheet4.xml" Id="R9ca8d64ad3374cce" /><Relationship Type="http://schemas.openxmlformats.org/officeDocument/2006/relationships/worksheet" Target="/xl/worksheets/sheet5.xml" Id="R62eb592ea42a460d" /><Relationship Type="http://schemas.openxmlformats.org/officeDocument/2006/relationships/worksheet" Target="/xl/worksheets/sheet6.xml" Id="Ra10ce6074dc84c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35e9b1607b462f" /><Relationship Type="http://schemas.openxmlformats.org/officeDocument/2006/relationships/chart" Target="/xl/drawings/charts/chart2.xml" Id="R116a7bce27794f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Liczba leadów według priorytetu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Liczba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Struktura segmentów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Liczba</c:v>
          </c:tx>
          <c:cat>
            <c:strRef>
              <c:f>'Dashboard'!$G$5:$G$11</c:f>
              <c:strCache>
                <c:ptCount val="0"/>
              </c:strCache>
            </c:strRef>
          </c:cat>
          <c:val>
            <c:numRef>
              <c:f>'Dashboard'!$H$5:$H$11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35e9b1607b462f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6a7bce27794f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op50LeadsTable" displayName="Top50LeadsTable" ref="A2:X52" headerRowCount="1">
  <x:tableColumns count="24">
    <x:tableColumn id="1" name="Rank"/>
    <x:tableColumn id="2" name="Priorytet"/>
    <x:tableColumn id="3" name="Score"/>
    <x:tableColumn id="4" name="Firma"/>
    <x:tableColumn id="5" name="Relacja"/>
    <x:tableColumn id="6" name="Segment"/>
    <x:tableColumn id="7" name="Kanał"/>
    <x:tableColumn id="8" name="Województwo"/>
    <x:tableColumn id="9" name="Miasto"/>
    <x:tableColumn id="10" name="Skala"/>
    <x:tableColumn id="11" name="Email"/>
    <x:tableColumn id="12" name="Telefon"/>
    <x:tableColumn id="13" name="Osoba / dział decyzyjny"/>
    <x:tableColumn id="14" name="Stanowisko"/>
    <x:tableColumn id="15" name="WWW"/>
    <x:tableColumn id="16" name="Adres"/>
    <x:tableColumn id="17" name="NIP"/>
    <x:tableColumn id="18" name="KRS"/>
    <x:tableColumn id="19" name="Produkty / marki"/>
    <x:tableColumn id="20" name="Kompletność"/>
    <x:tableColumn id="21" name="Status"/>
    <x:tableColumn id="22" name="Owner"/>
    <x:tableColumn id="23" name="Następny krok"/>
    <x:tableColumn id="24" name="Termin"/>
  </x:tableColumns>
  <x:tableStyleInfo name="TableStyleMedium2" showRowStripes="1"/>
</x:table>
</file>

<file path=xl/tables/table2.xml><?xml version="1.0" encoding="utf-8"?>
<x:table xmlns:x="http://schemas.openxmlformats.org/spreadsheetml/2006/main" id="1" name="BILLSLeadsTable" displayName="BILLSLeadsTable" ref="A2:AH330" headerRowCount="1">
  <x:tableColumns count="34">
    <x:tableColumn id="1" name="Rank"/>
    <x:tableColumn id="2" name="Priorytet"/>
    <x:tableColumn id="3" name="Score"/>
    <x:tableColumn id="4" name="Firma"/>
    <x:tableColumn id="5" name="Relacja handlowa"/>
    <x:tableColumn id="6" name="Segment"/>
    <x:tableColumn id="7" name="Kanał"/>
    <x:tableColumn id="8" name="Województwo"/>
    <x:tableColumn id="9" name="Miasto"/>
    <x:tableColumn id="10" name="Skala / zasięg"/>
    <x:tableColumn id="11" name="Email"/>
    <x:tableColumn id="12" name="Telefon"/>
    <x:tableColumn id="13" name="Osoba / dział decyzyjny"/>
    <x:tableColumn id="14" name="Stanowisko"/>
    <x:tableColumn id="15" name="Strona WWW"/>
    <x:tableColumn id="16" name="Adres"/>
    <x:tableColumn id="17" name="NIP"/>
    <x:tableColumn id="18" name="KRS"/>
    <x:tableColumn id="19" name="Produkty / marki"/>
    <x:tableColumn id="20" name="Kompletność kontaktu"/>
    <x:tableColumn id="21" name="Status"/>
    <x:tableColumn id="22" name="Owner"/>
    <x:tableColumn id="23" name="Następny krok"/>
    <x:tableColumn id="24" name="Termin kontaktu"/>
    <x:tableColumn id="25" name="Uzasadnienie potencjału"/>
    <x:tableColumn id="26" name="Źródła"/>
    <x:tableColumn id="27" name="Uwagi"/>
    <x:tableColumn id="28" name="Fit produktu"/>
    <x:tableColumn id="29" name="Siła kanału"/>
    <x:tableColumn id="30" name="Skala"/>
    <x:tableColumn id="31" name="Kontaktowalność"/>
    <x:tableColumn id="32" name="Gotowość B2B"/>
    <x:tableColumn id="33" name="Wiarygodność"/>
    <x:tableColumn id="34" name="Kara ryzyka"/>
  </x:tableColumns>
  <x:tableStyleInfo name="TableStyleMedium2" showRowStripes="1"/>
</x:table>
</file>

<file path=xl/tables/table3.xml><?xml version="1.0" encoding="utf-8"?>
<x:table xmlns:x="http://schemas.openxmlformats.org/spreadsheetml/2006/main" id="3" name="MissingContactsTable" displayName="MissingContactsTable" ref="A2:N224" headerRowCount="1">
  <x:tableColumns count="14">
    <x:tableColumn id="1" name="Rank"/>
    <x:tableColumn id="2" name="Score"/>
    <x:tableColumn id="3" name="Priorytet"/>
    <x:tableColumn id="4" name="Firma"/>
    <x:tableColumn id="5" name="Segment"/>
    <x:tableColumn id="6" name="Województwo"/>
    <x:tableColumn id="7" name="Email"/>
    <x:tableColumn id="8" name="Telefon"/>
    <x:tableColumn id="9" name="WWW"/>
    <x:tableColumn id="10" name="Brakujące pole"/>
    <x:tableColumn id="11" name="Następny krok"/>
    <x:tableColumn id="12" name="Status źródłowy"/>
    <x:tableColumn id="13" name="Źródła"/>
    <x:tableColumn id="14" name="Uwag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e7082db5e94e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5cdcb49dc548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cc1bba5b534b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422e077da274fc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3" hidden="0" customWidth="1"/>
    <x:col min="4" max="4" width="16" hidden="0" customWidth="1"/>
    <x:col min="5" max="5" width="12" hidden="0" customWidth="1"/>
    <x:col min="6" max="6" width="3" hidden="0" customWidth="1"/>
    <x:col min="7" max="7" width="16" hidden="0" customWidth="1"/>
    <x:col min="8" max="8" width="12" hidden="0" customWidth="1"/>
    <x:col min="9" max="9" width="3" hidden="0" customWidth="1"/>
    <x:col min="10" max="10" width="34" hidden="0" customWidth="1"/>
    <x:col min="11" max="11" width="25" hidden="0" customWidth="1"/>
    <x:col min="12" max="12" width="14" hidden="0" customWidth="1"/>
    <x:col min="13" max="13" width="12" hidden="0" customWidth="1"/>
    <x:col min="14" max="14" width="12" hidden="0" customWidth="1"/>
  </x:cols>
  <x:sheetData>
    <x:row r="1" ht="34" customHeight="1">
      <x:c r="A1" s="49" t="str">
        <x:v>BILLS — katalog B2B: priorytety sprzedażowe Polska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</x:row>
    <x:row r="2" ht="34" customHeight="1">
      <x:c r="A2" s="139" t="str">
        <x:v>Źródło: baza 328 rekordów, ujednolicona segmentacja kanał × region, scoring 0–100 i plan kontaktu. Właściciel: hurt@bills.pl.</x:v>
      </x:c>
      <x:c r="B2" s="139" t="str"/>
      <x:c r="C2" s="139" t="str"/>
      <x:c r="D2" s="139" t="str"/>
      <x:c r="E2" s="139" t="str"/>
      <x:c r="F2" s="139" t="str"/>
      <x:c r="G2" s="139" t="str"/>
      <x:c r="H2" s="139" t="str"/>
      <x:c r="I2" s="139" t="str"/>
      <x:c r="J2" s="139" t="str"/>
      <x:c r="K2" s="139" t="str"/>
      <x:c r="L2" s="139" t="str"/>
      <x:c r="M2" s="139" t="str"/>
      <x:c r="N2" s="139" t="str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4">
      <x:c r="A4" s="53" t="str">
        <x:v>KPI</x:v>
      </x:c>
      <x:c r="B4" s="55" t="str">
        <x:v>Wartość</x:v>
      </x:c>
      <x:c r="C4" s="50"/>
      <x:c r="D4" s="53" t="str">
        <x:v>Priorytet</x:v>
      </x:c>
      <x:c r="E4" s="55" t="str">
        <x:v>Liczba</x:v>
      </x:c>
      <x:c r="F4" s="50"/>
      <x:c r="G4" s="53" t="str">
        <x:v>Segment</x:v>
      </x:c>
      <x:c r="H4" s="55" t="str">
        <x:v>Liczba</x:v>
      </x:c>
      <x:c r="I4" s="50"/>
      <x:c r="J4" s="53" t="str">
        <x:v>Najważniejsze działanie</x:v>
      </x:c>
      <x:c r="K4" s="54" t="str">
        <x:v>Właściciel</x:v>
      </x:c>
      <x:c r="L4" s="55" t="str">
        <x:v>Termin</x:v>
      </x:c>
      <x:c r="M4" s="50"/>
      <x:c r="N4" s="50"/>
    </x:row>
    <x:row r="5">
      <x:c r="A5" s="56" t="str">
        <x:v>Wszystkie rekordy</x:v>
      </x:c>
      <x:c r="B5" s="140" t="n">
        <x:f>COUNTA('Leady B2B'!D3:D330)</x:f>
        <x:v>328</x:v>
      </x:c>
      <x:c r="C5" s="50"/>
      <x:c r="D5" s="56" t="str">
        <x:v>A1</x:v>
      </x:c>
      <x:c r="E5" s="57" t="n">
        <x:f>COUNTIF('Leady B2B'!C3:C330,"&gt;=82")</x:f>
        <x:v>24</x:v>
      </x:c>
      <x:c r="F5" s="50"/>
      <x:c r="G5" s="56" t="str">
        <x:v>S1</x:v>
      </x:c>
      <x:c r="H5" s="57" t="n">
        <x:f>COUNTIF('Leady B2B'!F3:F330,"S1 — RYO/MYO, gilzy i nabijarki")</x:f>
        <x:v>82</x:v>
      </x:c>
      <x:c r="I5" s="50"/>
      <x:c r="J5" s="141" t="str">
        <x:v>Uruchomić kontakt do A1</x:v>
      </x:c>
      <x:c r="K5" s="62" t="str">
        <x:v>BILLS — hurt@bills.pl</x:v>
      </x:c>
      <x:c r="L5" s="142" t="n">
        <x:v>46223</x:v>
      </x:c>
      <x:c r="M5" s="50"/>
      <x:c r="N5" s="50"/>
    </x:row>
    <x:row r="6">
      <x:c r="A6" s="56" t="str">
        <x:v>A1 — natychmiast</x:v>
      </x:c>
      <x:c r="B6" s="140" t="n">
        <x:f>COUNTIF('Leady B2B'!C3:C330,"&gt;=82")</x:f>
        <x:v>24</x:v>
      </x:c>
      <x:c r="C6" s="50"/>
      <x:c r="D6" s="56" t="str">
        <x:v>A2</x:v>
      </x:c>
      <x:c r="E6" s="57" t="n">
        <x:f>COUNTIFS('Leady B2B'!C3:C330,"&gt;=72",'Leady B2B'!C3:C330,"&lt;82")</x:f>
        <x:v>39</x:v>
      </x:c>
      <x:c r="F6" s="50"/>
      <x:c r="G6" s="56" t="str">
        <x:v>S2</x:v>
      </x:c>
      <x:c r="H6" s="57" t="n">
        <x:f>COUNTIF('Leady B2B'!F3:F330,"S2 — Hurtownie tytoniowe/FMCG")</x:f>
        <x:v>72</x:v>
      </x:c>
      <x:c r="I6" s="50"/>
      <x:c r="J6" s="141" t="str">
        <x:v>Uzupełnić brakujące emaile w A1/A2</x:v>
      </x:c>
      <x:c r="K6" s="62" t="str">
        <x:v>BILLS — hurt@bills.pl</x:v>
      </x:c>
      <x:c r="L6" s="142" t="n">
        <x:v>46225</x:v>
      </x:c>
      <x:c r="M6" s="50"/>
      <x:c r="N6" s="50"/>
    </x:row>
    <x:row r="7">
      <x:c r="A7" s="56" t="str">
        <x:v>A2 — w 7 dni</x:v>
      </x:c>
      <x:c r="B7" s="140" t="n">
        <x:f>COUNTIFS('Leady B2B'!C3:C330,"&gt;=72",'Leady B2B'!C3:C330,"&lt;82")</x:f>
        <x:v>39</x:v>
      </x:c>
      <x:c r="C7" s="50"/>
      <x:c r="D7" s="56" t="str">
        <x:v>B</x:v>
      </x:c>
      <x:c r="E7" s="57" t="n">
        <x:f>COUNTIFS('Leady B2B'!C3:C330,"&gt;=58",'Leady B2B'!C3:C330,"&lt;72")</x:f>
        <x:v>130</x:v>
      </x:c>
      <x:c r="F7" s="50"/>
      <x:c r="G7" s="56" t="str">
        <x:v>S3</x:v>
      </x:c>
      <x:c r="H7" s="57" t="n">
        <x:f>COUNTIF('Leady B2B'!F3:F330,"S3 — Akcesoria dla palaczy/headshop")</x:f>
        <x:v>98</x:v>
      </x:c>
      <x:c r="I7" s="50"/>
      <x:c r="J7" s="141" t="str">
        <x:v>Przygotować ofertę dla segmentu S1</x:v>
      </x:c>
      <x:c r="K7" s="62" t="str">
        <x:v>BILLS — hurt@bills.pl</x:v>
      </x:c>
      <x:c r="L7" s="142" t="n">
        <x:v>46224</x:v>
      </x:c>
      <x:c r="M7" s="50"/>
      <x:c r="N7" s="50"/>
    </x:row>
    <x:row r="8">
      <x:c r="A8" s="56" t="str">
        <x:v>A1 + A2</x:v>
      </x:c>
      <x:c r="B8" s="140" t="n">
        <x:f>B6+B7</x:f>
        <x:v>63</x:v>
      </x:c>
      <x:c r="C8" s="50"/>
      <x:c r="D8" s="56" t="str">
        <x:v>C</x:v>
      </x:c>
      <x:c r="E8" s="57" t="n">
        <x:f>COUNTIFS('Leady B2B'!C3:C330,"&gt;=42",'Leady B2B'!C3:C330,"&lt;58")</x:f>
        <x:v>57</x:v>
      </x:c>
      <x:c r="F8" s="50"/>
      <x:c r="G8" s="56" t="str">
        <x:v>S4</x:v>
      </x:c>
      <x:c r="H8" s="57" t="n">
        <x:f>COUNTIF('Leady B2B'!F3:F330,"S4 — Vape/e-papierosy")</x:f>
        <x:v>50</x:v>
      </x:c>
      <x:c r="I8" s="50"/>
      <x:c r="J8" s="141" t="str">
        <x:v>Uruchomić kampanię regionalną B</x:v>
      </x:c>
      <x:c r="K8" s="62" t="str">
        <x:v>BILLS — hurt@bills.pl</x:v>
      </x:c>
      <x:c r="L8" s="142" t="n">
        <x:v>46234</x:v>
      </x:c>
      <x:c r="M8" s="50"/>
      <x:c r="N8" s="50"/>
    </x:row>
    <x:row r="9">
      <x:c r="A9" s="56" t="str">
        <x:v>Pełny kontakt</x:v>
      </x:c>
      <x:c r="B9" s="140" t="n">
        <x:f>COUNTIF('Leady B2B'!T3:T330,"Pełny")</x:f>
        <x:v>106</x:v>
      </x:c>
      <x:c r="C9" s="50"/>
      <x:c r="D9" s="58" t="str">
        <x:v>D</x:v>
      </x:c>
      <x:c r="E9" s="60" t="n">
        <x:f>COUNTIF('Leady B2B'!C3:C330,"&lt;42")</x:f>
        <x:v>78</x:v>
      </x:c>
      <x:c r="F9" s="50"/>
      <x:c r="G9" s="56" t="str">
        <x:v>S5</x:v>
      </x:c>
      <x:c r="H9" s="57" t="n">
        <x:f>COUNTIF('Leady B2B'!F3:F330,"S5 — Cygara i trafiki premium")</x:f>
        <x:v>7</x:v>
      </x:c>
      <x:c r="I9" s="50"/>
      <x:c r="J9" s="143" t="str">
        <x:v>Oznaczyć konkurentów i konflikty</x:v>
      </x:c>
      <x:c r="K9" s="82" t="str">
        <x:v>BILLS — hurt@bills.pl</x:v>
      </x:c>
      <x:c r="L9" s="144" t="n">
        <x:v>46227</x:v>
      </x:c>
      <x:c r="M9" s="50"/>
      <x:c r="N9" s="50"/>
    </x:row>
    <x:row r="10">
      <x:c r="A10" s="56" t="str">
        <x:v>Brak emaila</x:v>
      </x:c>
      <x:c r="B10" s="140" t="n">
        <x:f>COUNTBLANK('Leady B2B'!K3:K330)</x:f>
        <x:v>215</x:v>
      </x:c>
      <x:c r="C10" s="50"/>
      <x:c r="D10" s="50"/>
      <x:c r="E10" s="50"/>
      <x:c r="F10" s="50"/>
      <x:c r="G10" s="56" t="str">
        <x:v>S6</x:v>
      </x:c>
      <x:c r="H10" s="57" t="n">
        <x:f>COUNTIF('Leady B2B'!F3:F330,"S6 — Retail/e-commerce")</x:f>
        <x:v>4</x:v>
      </x:c>
      <x:c r="I10" s="50"/>
      <x:c r="J10" s="50"/>
      <x:c r="K10" s="50"/>
      <x:c r="L10" s="50"/>
      <x:c r="M10" s="50"/>
      <x:c r="N10" s="50"/>
    </x:row>
    <x:row r="11">
      <x:c r="A11" s="58" t="str">
        <x:v>Brak telefonu</x:v>
      </x:c>
      <x:c r="B11" s="145" t="n">
        <x:f>COUNTBLANK('Leady B2B'!L3:L330)</x:f>
        <x:v>143</x:v>
      </x:c>
      <x:c r="C11" s="50"/>
      <x:c r="D11" s="50"/>
      <x:c r="E11" s="50"/>
      <x:c r="F11" s="50"/>
      <x:c r="G11" s="58" t="str">
        <x:v>S7</x:v>
      </x:c>
      <x:c r="H11" s="60" t="n">
        <x:f>COUNTIF('Leady B2B'!F3:F330,"S7 — Pozostałe/niezweryfikowane")</x:f>
        <x:v>15</x:v>
      </x:c>
      <x:c r="I11" s="50"/>
      <x:c r="J11" s="50"/>
      <x:c r="K11" s="50"/>
      <x:c r="L11" s="50"/>
      <x:c r="M11" s="50"/>
      <x:c r="N11" s="50"/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</x:row>
    <x:row r="14">
      <x:c r="A14" s="53" t="str">
        <x:v>Top 10 leadów</x:v>
      </x:c>
      <x:c r="B14" s="54" t="str">
        <x:v>Score</x:v>
      </x:c>
      <x:c r="C14" s="54" t="str">
        <x:v>Segment</x:v>
      </x:c>
      <x:c r="D14" s="54" t="str">
        <x:v>Województwo</x:v>
      </x:c>
      <x:c r="E14" s="54" t="str">
        <x:v>Email</x:v>
      </x:c>
      <x:c r="F14" s="55" t="str">
        <x:v>Telefon</x:v>
      </x:c>
      <x:c r="G14" s="50"/>
      <x:c r="H14" s="50"/>
      <x:c r="I14" s="50"/>
      <x:c r="J14" s="50"/>
      <x:c r="K14" s="50"/>
      <x:c r="L14" s="50"/>
      <x:c r="M14" s="50"/>
      <x:c r="N14" s="50"/>
    </x:row>
    <x:row r="15">
      <x:c r="A15" s="141" t="str">
        <x:f>'Leady B2B'!D3</x:f>
        <x:v>King Hurt — HQ + Branches</x:v>
      </x:c>
      <x:c r="B15" s="62" t="n">
        <x:f>'Leady B2B'!C3</x:f>
        <x:v>98</x:v>
      </x:c>
      <x:c r="C15" s="62" t="str">
        <x:f>'Leady B2B'!F3</x:f>
        <x:v>S1 — RYO/MYO, gilzy i nabijarki</x:v>
      </x:c>
      <x:c r="D15" s="62" t="str">
        <x:f>'Leady B2B'!H3</x:f>
        <x:v>Pomorskie</x:v>
      </x:c>
      <x:c r="E15" s="62" t="str">
        <x:f>'Leady B2B'!K3</x:f>
        <x:v>bok@kinghurt.pl</x:v>
      </x:c>
      <x:c r="F15" s="146" t="str">
        <x:f>'Leady B2B'!L3</x:f>
        <x:v>+48 609 641 400</x:v>
      </x:c>
      <x:c r="G15" s="50"/>
      <x:c r="H15" s="50"/>
      <x:c r="I15" s="50"/>
      <x:c r="J15" s="50"/>
      <x:c r="K15" s="50"/>
      <x:c r="L15" s="50"/>
      <x:c r="M15" s="50"/>
      <x:c r="N15" s="50"/>
    </x:row>
    <x:row r="16">
      <x:c r="A16" s="141" t="str">
        <x:f>'Leady B2B'!D4</x:f>
        <x:v>BongoGo.pl</x:v>
      </x:c>
      <x:c r="B16" s="62" t="n">
        <x:f>'Leady B2B'!C4</x:f>
        <x:v>98</x:v>
      </x:c>
      <x:c r="C16" s="62" t="str">
        <x:f>'Leady B2B'!F4</x:f>
        <x:v>S1 — RYO/MYO, gilzy i nabijarki</x:v>
      </x:c>
      <x:c r="D16" s="62" t="str">
        <x:f>'Leady B2B'!H4</x:f>
        <x:v>Ogólnopolska</x:v>
      </x:c>
      <x:c r="E16" s="62" t="str">
        <x:f>'Leady B2B'!K4</x:f>
        <x:v>kontakt@bongogo.pl</x:v>
      </x:c>
      <x:c r="F16" s="146" t="str">
        <x:f>'Leady B2B'!L4</x:f>
        <x:v>+48 601 779 697</x:v>
      </x:c>
      <x:c r="G16" s="50"/>
      <x:c r="H16" s="50"/>
      <x:c r="I16" s="50"/>
      <x:c r="J16" s="50"/>
      <x:c r="K16" s="50"/>
      <x:c r="L16" s="50"/>
      <x:c r="M16" s="50"/>
      <x:c r="N16" s="50"/>
    </x:row>
    <x:row r="17">
      <x:c r="A17" s="141" t="str">
        <x:f>'Leady B2B'!D5</x:f>
        <x:v>Trober Polska Patrick Chrabkowski</x:v>
      </x:c>
      <x:c r="B17" s="62" t="n">
        <x:f>'Leady B2B'!C5</x:f>
        <x:v>96</x:v>
      </x:c>
      <x:c r="C17" s="62" t="str">
        <x:f>'Leady B2B'!F5</x:f>
        <x:v>S1 — RYO/MYO, gilzy i nabijarki</x:v>
      </x:c>
      <x:c r="D17" s="62" t="str">
        <x:f>'Leady B2B'!H5</x:f>
        <x:v>Pomorskie</x:v>
      </x:c>
      <x:c r="E17" s="62" t="str">
        <x:f>'Leady B2B'!K5</x:f>
        <x:v>biuro@trober-polska.pl; anna.skarbek@troeber.com</x:v>
      </x:c>
      <x:c r="F17" s="146" t="str">
        <x:f>'Leady B2B'!L5</x:f>
        <x:v>+48 58 587 85 14; +48 502 323 283</x:v>
      </x:c>
      <x:c r="G17" s="50"/>
      <x:c r="H17" s="50"/>
      <x:c r="I17" s="50"/>
      <x:c r="J17" s="50"/>
      <x:c r="K17" s="50"/>
      <x:c r="L17" s="50"/>
      <x:c r="M17" s="50"/>
      <x:c r="N17" s="50"/>
    </x:row>
    <x:row r="18">
      <x:c r="A18" s="141" t="str">
        <x:f>'Leady B2B'!D6</x:f>
        <x:v>Trafika.pl</x:v>
      </x:c>
      <x:c r="B18" s="62" t="n">
        <x:f>'Leady B2B'!C6</x:f>
        <x:v>95</x:v>
      </x:c>
      <x:c r="C18" s="62" t="str">
        <x:f>'Leady B2B'!F6</x:f>
        <x:v>S1 — RYO/MYO, gilzy i nabijarki</x:v>
      </x:c>
      <x:c r="D18" s="62" t="str">
        <x:f>'Leady B2B'!H6</x:f>
        <x:v>Ogólnopolska</x:v>
      </x:c>
      <x:c r="E18" s="62" t="str">
        <x:f>'Leady B2B'!K6</x:f>
        <x:v>biuro@skleptytoniowy.pl</x:v>
      </x:c>
      <x:c r="F18" s="146" t="str">
        <x:f>'Leady B2B'!L6</x:f>
        <x:v>62 767 46 07</x:v>
      </x:c>
      <x:c r="G18" s="50"/>
      <x:c r="H18" s="50"/>
      <x:c r="I18" s="50"/>
      <x:c r="J18" s="50"/>
      <x:c r="K18" s="50"/>
      <x:c r="L18" s="50"/>
      <x:c r="M18" s="50"/>
      <x:c r="N18" s="50"/>
    </x:row>
    <x:row r="19">
      <x:c r="A19" s="141" t="str">
        <x:f>'Leady B2B'!D7</x:f>
        <x:v>TOPartner</x:v>
      </x:c>
      <x:c r="B19" s="62" t="n">
        <x:f>'Leady B2B'!C7</x:f>
        <x:v>95</x:v>
      </x:c>
      <x:c r="C19" s="62" t="str">
        <x:f>'Leady B2B'!F7</x:f>
        <x:v>S1 — RYO/MYO, gilzy i nabijarki</x:v>
      </x:c>
      <x:c r="D19" s="62" t="str">
        <x:f>'Leady B2B'!H7</x:f>
        <x:v>Łódzkie</x:v>
      </x:c>
      <x:c r="E19" s="62" t="str">
        <x:f>'Leady B2B'!K7</x:f>
        <x:v>kontakt@topartner.pl</x:v>
      </x:c>
      <x:c r="F19" s="146" t="str">
        <x:f>'Leady B2B'!L7</x:f>
        <x:v>+48 42 214 53 98</x:v>
      </x:c>
      <x:c r="G19" s="50"/>
      <x:c r="H19" s="50"/>
      <x:c r="I19" s="50"/>
      <x:c r="J19" s="50"/>
      <x:c r="K19" s="50"/>
      <x:c r="L19" s="50"/>
      <x:c r="M19" s="50"/>
      <x:c r="N19" s="50"/>
    </x:row>
    <x:row r="20">
      <x:c r="A20" s="141" t="str">
        <x:f>'Leady B2B'!D8</x:f>
        <x:v>Elenpipe</x:v>
      </x:c>
      <x:c r="B20" s="62" t="n">
        <x:f>'Leady B2B'!C8</x:f>
        <x:v>95</x:v>
      </x:c>
      <x:c r="C20" s="62" t="str">
        <x:f>'Leady B2B'!F8</x:f>
        <x:v>S1 — RYO/MYO, gilzy i nabijarki</x:v>
      </x:c>
      <x:c r="D20" s="62" t="str">
        <x:f>'Leady B2B'!H8</x:f>
        <x:v>Małopolskie</x:v>
      </x:c>
      <x:c r="E20" s="62" t="str">
        <x:f>'Leady B2B'!K8</x:f>
        <x:v>elenpipe.pl@gmail.com</x:v>
      </x:c>
      <x:c r="F20" s="146" t="str">
        <x:f>'Leady B2B'!L8</x:f>
        <x:v>+48 91 570 53 60</x:v>
      </x:c>
      <x:c r="G20" s="50"/>
      <x:c r="H20" s="50"/>
      <x:c r="I20" s="50"/>
      <x:c r="J20" s="50"/>
      <x:c r="K20" s="50"/>
      <x:c r="L20" s="50"/>
      <x:c r="M20" s="50"/>
      <x:c r="N20" s="50"/>
    </x:row>
    <x:row r="21">
      <x:c r="A21" s="141" t="str">
        <x:f>'Leady B2B'!D9</x:f>
        <x:v>PHU BJB Sp. z o.o.</x:v>
      </x:c>
      <x:c r="B21" s="62" t="n">
        <x:f>'Leady B2B'!C9</x:f>
        <x:v>93</x:v>
      </x:c>
      <x:c r="C21" s="62" t="str">
        <x:f>'Leady B2B'!F9</x:f>
        <x:v>S1 — RYO/MYO, gilzy i nabijarki</x:v>
      </x:c>
      <x:c r="D21" s="62" t="str">
        <x:f>'Leady B2B'!H9</x:f>
        <x:v>Zachodniopomorskie</x:v>
      </x:c>
      <x:c r="E21" s="62" t="str">
        <x:f>'Leady B2B'!K9</x:f>
        <x:v>zamowienia@bjb.verde.pl</x:v>
      </x:c>
      <x:c r="F21" s="146" t="str">
        <x:f>'Leady B2B'!L9</x:f>
        <x:v>+48 94 340 49 04</x:v>
      </x:c>
      <x:c r="G21" s="50"/>
      <x:c r="H21" s="50"/>
      <x:c r="I21" s="50"/>
      <x:c r="J21" s="50"/>
      <x:c r="K21" s="50"/>
      <x:c r="L21" s="50"/>
      <x:c r="M21" s="50"/>
      <x:c r="N21" s="50"/>
    </x:row>
    <x:row r="22">
      <x:c r="A22" s="141" t="str">
        <x:f>'Leady B2B'!D10</x:f>
        <x:v>West Trading</x:v>
      </x:c>
      <x:c r="B22" s="62" t="n">
        <x:f>'Leady B2B'!C10</x:f>
        <x:v>91</x:v>
      </x:c>
      <x:c r="C22" s="62" t="str">
        <x:f>'Leady B2B'!F10</x:f>
        <x:v>S1 — RYO/MYO, gilzy i nabijarki</x:v>
      </x:c>
      <x:c r="D22" s="62" t="str">
        <x:f>'Leady B2B'!H10</x:f>
        <x:v>Zachodniopomorskie</x:v>
      </x:c>
      <x:c r="E22" s="62" t="str">
        <x:f>'Leady B2B'!K10</x:f>
        <x:v>zamowienia.szczecin@westtrading.pl; zamowienia.swinoujscie@westtrading.pl</x:v>
      </x:c>
      <x:c r="F22" s="146" t="str">
        <x:f>'Leady B2B'!L10</x:f>
        <x:v>+48 515 739 764; +48 91 460 00 34; +48 695 870 780</x:v>
      </x:c>
      <x:c r="G22" s="50"/>
      <x:c r="H22" s="50"/>
      <x:c r="I22" s="50"/>
      <x:c r="J22" s="50"/>
      <x:c r="K22" s="50"/>
      <x:c r="L22" s="50"/>
      <x:c r="M22" s="50"/>
      <x:c r="N22" s="50"/>
    </x:row>
    <x:row r="23">
      <x:c r="A23" s="141" t="str">
        <x:f>'Leady B2B'!D11</x:f>
        <x:v>Prosmoker Jarosław Szulc</x:v>
      </x:c>
      <x:c r="B23" s="62" t="n">
        <x:f>'Leady B2B'!C11</x:f>
        <x:v>91</x:v>
      </x:c>
      <x:c r="C23" s="62" t="str">
        <x:f>'Leady B2B'!F11</x:f>
        <x:v>S1 — RYO/MYO, gilzy i nabijarki</x:v>
      </x:c>
      <x:c r="D23" s="62" t="str">
        <x:f>'Leady B2B'!H11</x:f>
        <x:v>Mazowieckie</x:v>
      </x:c>
      <x:c r="E23" s="62" t="str">
        <x:f>'Leady B2B'!K11</x:f>
        <x:v>prosmokerhurt@gmail.com</x:v>
      </x:c>
      <x:c r="F23" s="146" t="str">
        <x:f>'Leady B2B'!L11</x:f>
        <x:v>+48 507 208 897; +48 690 328 062</x:v>
      </x:c>
      <x:c r="G23" s="50"/>
      <x:c r="H23" s="50"/>
      <x:c r="I23" s="50"/>
      <x:c r="J23" s="50"/>
      <x:c r="K23" s="50"/>
      <x:c r="L23" s="50"/>
      <x:c r="M23" s="50"/>
      <x:c r="N23" s="50"/>
    </x:row>
    <x:row r="24">
      <x:c r="A24" s="143" t="str">
        <x:f>'Leady B2B'!D12</x:f>
        <x:v>BATEK Violoncellista Beata</x:v>
      </x:c>
      <x:c r="B24" s="82" t="n">
        <x:f>'Leady B2B'!C12</x:f>
        <x:v>91</x:v>
      </x:c>
      <x:c r="C24" s="82" t="str">
        <x:f>'Leady B2B'!F12</x:f>
        <x:v>S1 — RYO/MYO, gilzy i nabijarki</x:v>
      </x:c>
      <x:c r="D24" s="82" t="str">
        <x:f>'Leady B2B'!H12</x:f>
        <x:v>Mazowieckie</x:v>
      </x:c>
      <x:c r="E24" s="82" t="str">
        <x:f>'Leady B2B'!K12</x:f>
        <x:v>batek@batek.pl</x:v>
      </x:c>
      <x:c r="F24" s="147" t="str">
        <x:f>'Leady B2B'!L12</x:f>
        <x:v>+48 695 020 633; +48 22 732 25 11</x:v>
      </x:c>
      <x:c r="G24" s="50"/>
      <x:c r="H24" s="50"/>
      <x:c r="I24" s="50"/>
      <x:c r="J24" s="50"/>
      <x:c r="K24" s="50"/>
      <x:c r="L24" s="50"/>
      <x:c r="M24" s="50"/>
      <x:c r="N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</x:row>
  </x:sheetData>
  <x:mergeCells>
    <x:mergeCell ref="A1:N1"/>
    <x:mergeCell ref="A2:N2"/>
  </x:mergeCells>
  <x:conditionalFormatting sqref="B15:B24">
    <x:cfRule type="colorScale" priority="1">
      <x:colorScale>
        <x:cfvo type="min"/>
        <x:cfvo type="percentile" val="50"/>
        <x:cfvo type="max"/>
        <x:color rgb="FFFFF2CC"/>
        <x:color rgb="FFEAF2F8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65e7082db5e94e3d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8" hidden="0" customWidth="1"/>
    <x:col min="4" max="4" width="34" hidden="0" customWidth="1"/>
    <x:col min="5" max="5" width="34" hidden="0" customWidth="1"/>
    <x:col min="6" max="6" width="30" hidden="0" customWidth="1"/>
    <x:col min="7" max="7" width="27" hidden="0" customWidth="1"/>
    <x:col min="8" max="8" width="20" hidden="0" customWidth="1"/>
    <x:col min="9" max="9" width="16" hidden="0" customWidth="1"/>
    <x:col min="10" max="10" width="14" hidden="0" customWidth="1"/>
    <x:col min="11" max="11" width="30" hidden="0" customWidth="1"/>
    <x:col min="12" max="12" width="23" hidden="0" customWidth="1"/>
    <x:col min="13" max="13" width="28" hidden="0" customWidth="1"/>
    <x:col min="14" max="14" width="24" hidden="0" customWidth="1"/>
    <x:col min="15" max="15" width="30" hidden="0" customWidth="1"/>
    <x:col min="16" max="16" width="36" hidden="0" customWidth="1"/>
    <x:col min="17" max="17" width="15" hidden="0" customWidth="1"/>
    <x:col min="18" max="18" width="15" hidden="0" customWidth="1"/>
    <x:col min="19" max="19" width="42" hidden="0" customWidth="1"/>
    <x:col min="20" max="20" width="20" hidden="0" customWidth="1"/>
    <x:col min="21" max="21" width="18" hidden="0" customWidth="1"/>
    <x:col min="22" max="22" width="25" hidden="0" customWidth="1"/>
    <x:col min="23" max="23" width="46" hidden="0" customWidth="1"/>
    <x:col min="24" max="24" width="14" hidden="0" customWidth="1"/>
  </x:cols>
  <x:sheetData>
    <x:row r="1">
      <x:c r="A1" s="5" t="str">
        <x:v>BILLS — 50 leadów do rozpoczęcia kontaktu sprzedażowego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>
      <x:c r="A2" s="20" t="str">
        <x:v>Rank</x:v>
      </x:c>
      <x:c r="B2" s="21" t="str">
        <x:v>Priorytet</x:v>
      </x:c>
      <x:c r="C2" s="21" t="str">
        <x:v>Score</x:v>
      </x:c>
      <x:c r="D2" s="21" t="str">
        <x:v>Firma</x:v>
      </x:c>
      <x:c r="E2" s="21" t="str">
        <x:v>Relacja</x:v>
      </x:c>
      <x:c r="F2" s="21" t="str">
        <x:v>Segment</x:v>
      </x:c>
      <x:c r="G2" s="21" t="str">
        <x:v>Kanał</x:v>
      </x:c>
      <x:c r="H2" s="21" t="str">
        <x:v>Województwo</x:v>
      </x:c>
      <x:c r="I2" s="21" t="str">
        <x:v>Miasto</x:v>
      </x:c>
      <x:c r="J2" s="21" t="str">
        <x:v>Skala</x:v>
      </x:c>
      <x:c r="K2" s="21" t="str">
        <x:v>Email</x:v>
      </x:c>
      <x:c r="L2" s="21" t="str">
        <x:v>Telefon</x:v>
      </x:c>
      <x:c r="M2" s="21" t="str">
        <x:v>Osoba / dział decyzyjny</x:v>
      </x:c>
      <x:c r="N2" s="21" t="str">
        <x:v>Stanowisko</x:v>
      </x:c>
      <x:c r="O2" s="21" t="str">
        <x:v>WWW</x:v>
      </x:c>
      <x:c r="P2" s="21" t="str">
        <x:v>Adres</x:v>
      </x:c>
      <x:c r="Q2" s="21" t="str">
        <x:v>NIP</x:v>
      </x:c>
      <x:c r="R2" s="21" t="str">
        <x:v>KRS</x:v>
      </x:c>
      <x:c r="S2" s="21" t="str">
        <x:v>Produkty / marki</x:v>
      </x:c>
      <x:c r="T2" s="21" t="str">
        <x:v>Kompletność</x:v>
      </x:c>
      <x:c r="U2" s="21" t="str">
        <x:v>Status</x:v>
      </x:c>
      <x:c r="V2" s="21" t="str">
        <x:v>Owner</x:v>
      </x:c>
      <x:c r="W2" s="21" t="str">
        <x:v>Następny krok</x:v>
      </x:c>
      <x:c r="X2" s="22" t="str">
        <x:v>Termin</x:v>
      </x:c>
    </x:row>
    <x:row r="3" ht="38" customHeight="1">
      <x:c r="A3" s="101" t="n">
        <x:f>'Leady B2B'!A3</x:f>
        <x:v>1</x:v>
      </x:c>
      <x:c r="B3" s="102" t="str">
        <x:f>'Leady B2B'!B3</x:f>
        <x:v>A1 — kontakt natychmiast</x:v>
      </x:c>
      <x:c r="C3" s="102" t="n">
        <x:f>'Leady B2B'!C3</x:f>
        <x:v>98</x:v>
      </x:c>
      <x:c r="D3" s="47" t="str">
        <x:f>'Leady B2B'!D3</x:f>
        <x:v>King Hurt — HQ + Branches</x:v>
      </x:c>
      <x:c r="E3" s="47" t="str">
        <x:f>'Leady B2B'!E3</x:f>
        <x:v>Potencjalny reseller / odbiorca hurtowy</x:v>
      </x:c>
      <x:c r="F3" s="47" t="str">
        <x:f>'Leady B2B'!F3</x:f>
        <x:v>S1 — RYO/MYO, gilzy i nabijarki</x:v>
      </x:c>
      <x:c r="G3" s="47" t="str">
        <x:f>'Leady B2B'!G3</x:f>
        <x:v>Hurt ogólnopolski</x:v>
      </x:c>
      <x:c r="H3" s="47" t="str">
        <x:f>'Leady B2B'!H3</x:f>
        <x:v>Pomorskie</x:v>
      </x:c>
      <x:c r="I3" s="47" t="str">
        <x:f>'Leady B2B'!I3</x:f>
        <x:v>Szczecin</x:v>
      </x:c>
      <x:c r="J3" s="47" t="str">
        <x:f>'Leady B2B'!J3</x:f>
        <x:v>Duży</x:v>
      </x:c>
      <x:c r="K3" s="47" t="str">
        <x:f>'Leady B2B'!K3</x:f>
        <x:v>bok@kinghurt.pl</x:v>
      </x:c>
      <x:c r="L3" s="47" t="str">
        <x:f>'Leady B2B'!L3</x:f>
        <x:v>+48 609 641 400</x:v>
      </x:c>
      <x:c r="M3" s="47" t="n">
        <x:f>'Leady B2B'!M3</x:f>
        <x:v>0</x:v>
      </x:c>
      <x:c r="N3" s="47" t="str">
        <x:f>'Leady B2B'!N3</x:f>
      </x:c>
      <x:c r="O3" s="47" t="str">
        <x:f>'Leady B2B'!O3</x:f>
        <x:v>https://kinghurt.pl</x:v>
      </x:c>
      <x:c r="P3" s="47" t="str">
        <x:f>'Leady B2B'!P3</x:f>
        <x:v>Poland</x:v>
      </x:c>
      <x:c r="Q3" s="47" t="n">
        <x:f>'Leady B2B'!Q3</x:f>
        <x:v>0</x:v>
      </x:c>
      <x:c r="R3" s="47" t="str">
        <x:f>'Leady B2B'!R3</x:f>
      </x:c>
      <x:c r="S3" s="47" t="str">
        <x:f>'Leady B2B'!S3</x:f>
        <x:v>Akcesoria Tytoniowe | Papierosy | Tytoń | Akcesoria oraz produkty impulsowe | Gilzy | Papierosy | Tytoń | Akcesoria | Rdzeń systemu nabijarek</x:v>
      </x:c>
      <x:c r="T3" s="47" t="str">
        <x:f>'Leady B2B'!T3</x:f>
        <x:v>Pełny</x:v>
      </x:c>
      <x:c r="U3" s="47" t="str">
        <x:f>'Leady B2B'!U3</x:f>
        <x:v>Nowy</x:v>
      </x:c>
      <x:c r="V3" s="47" t="str">
        <x:f>'Leady B2B'!V3</x:f>
        <x:v>BILLS — hurt@bills.pl</x:v>
      </x:c>
      <x:c r="W3" s="47" t="str">
        <x:f>'Leady B2B'!W3</x:f>
        <x:v>Telefon do działu zakupów + personalizowany e-mail tego samego dnia</x:v>
      </x:c>
      <x:c r="X3" s="109" t="n">
        <x:f>'Leady B2B'!X3</x:f>
        <x:v>46223</x:v>
      </x:c>
    </x:row>
    <x:row r="4" ht="38" customHeight="1">
      <x:c r="A4" s="101" t="n">
        <x:f>'Leady B2B'!A4</x:f>
        <x:v>2</x:v>
      </x:c>
      <x:c r="B4" s="102" t="str">
        <x:f>'Leady B2B'!B4</x:f>
        <x:v>A1 — kontakt natychmiast</x:v>
      </x:c>
      <x:c r="C4" s="102" t="n">
        <x:f>'Leady B2B'!C4</x:f>
        <x:v>98</x:v>
      </x:c>
      <x:c r="D4" s="47" t="str">
        <x:f>'Leady B2B'!D4</x:f>
        <x:v>BongoGo.pl</x:v>
      </x:c>
      <x:c r="E4" s="47" t="str">
        <x:f>'Leady B2B'!E4</x:f>
        <x:v>Potencjalny reseller / odbiorca hurtowy</x:v>
      </x:c>
      <x:c r="F4" s="47" t="str">
        <x:f>'Leady B2B'!F4</x:f>
        <x:v>S1 — RYO/MYO, gilzy i nabijarki</x:v>
      </x:c>
      <x:c r="G4" s="47" t="str">
        <x:f>'Leady B2B'!G4</x:f>
        <x:v>Hurt ogólnopolski</x:v>
      </x:c>
      <x:c r="H4" s="47" t="str">
        <x:f>'Leady B2B'!H4</x:f>
        <x:v>Ogólnopolska</x:v>
      </x:c>
      <x:c r="I4" s="47" t="str">
        <x:f>'Leady B2B'!I4</x:f>
        <x:v>Szczecin</x:v>
      </x:c>
      <x:c r="J4" s="47" t="str">
        <x:f>'Leady B2B'!J4</x:f>
        <x:v>Średni</x:v>
      </x:c>
      <x:c r="K4" s="47" t="str">
        <x:f>'Leady B2B'!K4</x:f>
        <x:v>kontakt@bongogo.pl</x:v>
      </x:c>
      <x:c r="L4" s="47" t="str">
        <x:f>'Leady B2B'!L4</x:f>
        <x:v>+48 601 779 697</x:v>
      </x:c>
      <x:c r="M4" s="47" t="n">
        <x:f>'Leady B2B'!M4</x:f>
        <x:v>0</x:v>
      </x:c>
      <x:c r="N4" s="47" t="str">
        <x:f>'Leady B2B'!N4</x:f>
      </x:c>
      <x:c r="O4" s="47" t="str">
        <x:f>'Leady B2B'!O4</x:f>
        <x:v>https://bongogo.pl/hurtownia-b...</x:v>
      </x:c>
      <x:c r="P4" s="47" t="str">
        <x:f>'Leady B2B'!P4</x:f>
        <x:v>ul. Bolesława Krzywoustego 51, 70-317 Szczecin</x:v>
      </x:c>
      <x:c r="Q4" s="47" t="str">
        <x:f>'Leady B2B'!Q4</x:f>
        <x:v>9551541914</x:v>
      </x:c>
      <x:c r="R4" s="47" t="str">
        <x:f>'Leady B2B'!R4</x:f>
      </x:c>
      <x:c r="S4" s="47" t="str">
        <x:f>'Leady B2B'!S4</x:f>
        <x:v>Akcesoria Tytoniowe | Headshop (Bonga, Shisha) | Nabijarki &amp; Zwijarki | Hurt | Sklep Tytoniowy</x:v>
      </x:c>
      <x:c r="T4" s="47" t="str">
        <x:f>'Leady B2B'!T4</x:f>
        <x:v>Pełny</x:v>
      </x:c>
      <x:c r="U4" s="47" t="str">
        <x:f>'Leady B2B'!U4</x:f>
        <x:v>Nowy</x:v>
      </x:c>
      <x:c r="V4" s="47" t="str">
        <x:f>'Leady B2B'!V4</x:f>
        <x:v>BILLS — hurt@bills.pl</x:v>
      </x:c>
      <x:c r="W4" s="47" t="str">
        <x:f>'Leady B2B'!W4</x:f>
        <x:v>Telefon do działu zakupów + personalizowany e-mail tego samego dnia</x:v>
      </x:c>
      <x:c r="X4" s="109" t="n">
        <x:f>'Leady B2B'!X4</x:f>
        <x:v>46223</x:v>
      </x:c>
    </x:row>
    <x:row r="5" ht="38" customHeight="1">
      <x:c r="A5" s="101" t="n">
        <x:f>'Leady B2B'!A5</x:f>
        <x:v>3</x:v>
      </x:c>
      <x:c r="B5" s="102" t="str">
        <x:f>'Leady B2B'!B5</x:f>
        <x:v>A1 — kontakt natychmiast</x:v>
      </x:c>
      <x:c r="C5" s="102" t="n">
        <x:f>'Leady B2B'!C5</x:f>
        <x:v>96</x:v>
      </x:c>
      <x:c r="D5" s="47" t="str">
        <x:f>'Leady B2B'!D5</x:f>
        <x:v>Trober Polska Patrick Chrabkowski</x:v>
      </x:c>
      <x:c r="E5" s="47" t="str">
        <x:f>'Leady B2B'!E5</x:f>
        <x:v>Partner dystrybucyjny/importer</x:v>
      </x:c>
      <x:c r="F5" s="47" t="str">
        <x:f>'Leady B2B'!F5</x:f>
        <x:v>S1 — RYO/MYO, gilzy i nabijarki</x:v>
      </x:c>
      <x:c r="G5" s="47" t="str">
        <x:f>'Leady B2B'!G5</x:f>
        <x:v>Importer/dystrybutor krajowy</x:v>
      </x:c>
      <x:c r="H5" s="47" t="str">
        <x:f>'Leady B2B'!H5</x:f>
        <x:v>Pomorskie</x:v>
      </x:c>
      <x:c r="I5" s="47" t="str">
        <x:f>'Leady B2B'!I5</x:f>
        <x:v>Kaliska</x:v>
      </x:c>
      <x:c r="J5" s="47" t="str">
        <x:f>'Leady B2B'!J5</x:f>
        <x:v>Średni</x:v>
      </x:c>
      <x:c r="K5" s="47" t="str">
        <x:f>'Leady B2B'!K5</x:f>
        <x:v>biuro@trober-polska.pl; anna.skarbek@troeber.com</x:v>
      </x:c>
      <x:c r="L5" s="47" t="str">
        <x:f>'Leady B2B'!L5</x:f>
        <x:v>+48 58 587 85 14; +48 502 323 283</x:v>
      </x:c>
      <x:c r="M5" s="47" t="str">
        <x:f>'Leady B2B'!M5</x:f>
        <x:v>Patrick Chrabkowski / Właściciel | Anna Skarbek / Kontakt sprzedażowy Polska</x:v>
      </x:c>
      <x:c r="N5" s="47" t="str">
        <x:f>'Leady B2B'!N5</x:f>
      </x:c>
      <x:c r="O5" s="47" t="str">
        <x:f>'Leady B2B'!O5</x:f>
        <x:v>https://trober-polska.pl/</x:v>
      </x:c>
      <x:c r="P5" s="47" t="str">
        <x:f>'Leady B2B'!P5</x:f>
        <x:v>ul. Firmowa 2, 83-260 Kaliska</x:v>
      </x:c>
      <x:c r="Q5" s="47" t="str">
        <x:f>'Leady B2B'!Q5</x:f>
        <x:v>5922192789</x:v>
      </x:c>
      <x:c r="R5" s="47" t="str">
        <x:f>'Leady B2B'!R5</x:f>
      </x:c>
      <x:c r="S5" s="47" t="str">
        <x:f>'Leady B2B'!S5</x:f>
        <x:v>Zapalniczki | Gilzy papierosowe | Liquidy | Akcesoria dla palaczy | Akcesoria | Tytoń | Vape</x:v>
      </x:c>
      <x:c r="T5" s="47" t="str">
        <x:f>'Leady B2B'!T5</x:f>
        <x:v>Pełny</x:v>
      </x:c>
      <x:c r="U5" s="47" t="str">
        <x:f>'Leady B2B'!U5</x:f>
        <x:v>Nowy</x:v>
      </x:c>
      <x:c r="V5" s="47" t="str">
        <x:f>'Leady B2B'!V5</x:f>
        <x:v>BILLS — hurt@bills.pl</x:v>
      </x:c>
      <x:c r="W5" s="47" t="str">
        <x:f>'Leady B2B'!W5</x:f>
        <x:v>Telefon do działu zakupów + personalizowany e-mail tego samego dnia</x:v>
      </x:c>
      <x:c r="X5" s="109" t="n">
        <x:f>'Leady B2B'!X5</x:f>
        <x:v>46223</x:v>
      </x:c>
    </x:row>
    <x:row r="6" ht="38" customHeight="1">
      <x:c r="A6" s="101" t="n">
        <x:f>'Leady B2B'!A6</x:f>
        <x:v>4</x:v>
      </x:c>
      <x:c r="B6" s="102" t="str">
        <x:f>'Leady B2B'!B6</x:f>
        <x:v>A1 — kontakt natychmiast</x:v>
      </x:c>
      <x:c r="C6" s="102" t="n">
        <x:f>'Leady B2B'!C6</x:f>
        <x:v>95</x:v>
      </x:c>
      <x:c r="D6" s="47" t="str">
        <x:f>'Leady B2B'!D6</x:f>
        <x:v>Trafika.pl</x:v>
      </x:c>
      <x:c r="E6" s="47" t="str">
        <x:f>'Leady B2B'!E6</x:f>
        <x:v>Potencjalny reseller / odbiorca hurtowy</x:v>
      </x:c>
      <x:c r="F6" s="47" t="str">
        <x:f>'Leady B2B'!F6</x:f>
        <x:v>S1 — RYO/MYO, gilzy i nabijarki</x:v>
      </x:c>
      <x:c r="G6" s="47" t="str">
        <x:f>'Leady B2B'!G6</x:f>
        <x:v>Hurt B2B + detal</x:v>
      </x:c>
      <x:c r="H6" s="47" t="str">
        <x:f>'Leady B2B'!H6</x:f>
        <x:v>Ogólnopolska</x:v>
      </x:c>
      <x:c r="I6" s="47" t="str">
        <x:f>'Leady B2B'!I6</x:f>
        <x:v>Kalisz</x:v>
      </x:c>
      <x:c r="J6" s="47" t="str">
        <x:f>'Leady B2B'!J6</x:f>
        <x:v>Średni</x:v>
      </x:c>
      <x:c r="K6" s="47" t="str">
        <x:f>'Leady B2B'!K6</x:f>
        <x:v>biuro@skleptytoniowy.pl</x:v>
      </x:c>
      <x:c r="L6" s="47" t="str">
        <x:f>'Leady B2B'!L6</x:f>
        <x:v>62 767 46 07</x:v>
      </x:c>
      <x:c r="M6" s="47" t="str">
        <x:f>'Leady B2B'!M6</x:f>
      </x:c>
      <x:c r="N6" s="47" t="str">
        <x:f>'Leady B2B'!N6</x:f>
      </x:c>
      <x:c r="O6" s="47" t="str">
        <x:f>'Leady B2B'!O6</x:f>
        <x:v>https://trafika.pl</x:v>
      </x:c>
      <x:c r="P6" s="47" t="str">
        <x:f>'Leady B2B'!P6</x:f>
        <x:v>ul. Złota 126, 62-800 Kalisz</x:v>
      </x:c>
      <x:c r="Q6" s="47" t="str">
        <x:f>'Leady B2B'!Q6</x:f>
        <x:v>6181914183</x:v>
      </x:c>
      <x:c r="R6" s="47" t="str">
        <x:f>'Leady B2B'!R6</x:f>
      </x:c>
      <x:c r="S6" s="47" t="str">
        <x:f>'Leady B2B'!S6</x:f>
        <x:v>Akcesoria Tytoniowe | FMCG | Nabijarki &amp; Zwijarki | Papierosy | Tytoń | Vape &amp; E-papierosy | Hurt | Sklep Tytoniowy</x:v>
      </x:c>
      <x:c r="T6" s="47" t="str">
        <x:f>'Leady B2B'!T6</x:f>
        <x:v>Pełny</x:v>
      </x:c>
      <x:c r="U6" s="47" t="str">
        <x:f>'Leady B2B'!U6</x:f>
        <x:v>Nowy</x:v>
      </x:c>
      <x:c r="V6" s="47" t="str">
        <x:f>'Leady B2B'!V6</x:f>
        <x:v>BILLS — hurt@bills.pl</x:v>
      </x:c>
      <x:c r="W6" s="47" t="str">
        <x:f>'Leady B2B'!W6</x:f>
        <x:v>Telefon do działu zakupów + personalizowany e-mail tego samego dnia</x:v>
      </x:c>
      <x:c r="X6" s="109" t="n">
        <x:f>'Leady B2B'!X6</x:f>
        <x:v>46223</x:v>
      </x:c>
    </x:row>
    <x:row r="7" ht="38" customHeight="1">
      <x:c r="A7" s="101" t="n">
        <x:f>'Leady B2B'!A7</x:f>
        <x:v>5</x:v>
      </x:c>
      <x:c r="B7" s="102" t="str">
        <x:f>'Leady B2B'!B7</x:f>
        <x:v>A1 — kontakt natychmiast</x:v>
      </x:c>
      <x:c r="C7" s="102" t="n">
        <x:f>'Leady B2B'!C7</x:f>
        <x:v>95</x:v>
      </x:c>
      <x:c r="D7" s="47" t="str">
        <x:f>'Leady B2B'!D7</x:f>
        <x:v>TOPartner</x:v>
      </x:c>
      <x:c r="E7" s="47" t="str">
        <x:f>'Leady B2B'!E7</x:f>
        <x:v>Partner dystrybucyjny/importer</x:v>
      </x:c>
      <x:c r="F7" s="47" t="str">
        <x:f>'Leady B2B'!F7</x:f>
        <x:v>S1 — RYO/MYO, gilzy i nabijarki</x:v>
      </x:c>
      <x:c r="G7" s="47" t="str">
        <x:f>'Leady B2B'!G7</x:f>
        <x:v>Importer/dystrybutor krajowy</x:v>
      </x:c>
      <x:c r="H7" s="47" t="str">
        <x:f>'Leady B2B'!H7</x:f>
        <x:v>Łódzkie</x:v>
      </x:c>
      <x:c r="I7" s="47" t="str">
        <x:f>'Leady B2B'!I7</x:f>
        <x:v>Pabianice</x:v>
      </x:c>
      <x:c r="J7" s="47" t="str">
        <x:f>'Leady B2B'!J7</x:f>
        <x:v>Średni</x:v>
      </x:c>
      <x:c r="K7" s="47" t="str">
        <x:f>'Leady B2B'!K7</x:f>
        <x:v>kontakt@topartner.pl</x:v>
      </x:c>
      <x:c r="L7" s="47" t="str">
        <x:f>'Leady B2B'!L7</x:f>
        <x:v>+48 42 214 53 98</x:v>
      </x:c>
      <x:c r="M7" s="47" t="str">
        <x:f>'Leady B2B'!M7</x:f>
        <x:v>Dział handlowy</x:v>
      </x:c>
      <x:c r="N7" s="47" t="str">
        <x:f>'Leady B2B'!N7</x:f>
        <x:v>Sprzedaż hurtowa</x:v>
      </x:c>
      <x:c r="O7" s="47" t="str">
        <x:f>'Leady B2B'!O7</x:f>
        <x:v>https://topartner.pl</x:v>
      </x:c>
      <x:c r="P7" s="47" t="str">
        <x:f>'Leady B2B'!P7</x:f>
        <x:v>ul. Warszawska 44/50, 95-200 Pabianice</x:v>
      </x:c>
      <x:c r="Q7" s="47" t="n">
        <x:f>'Leady B2B'!Q7</x:f>
        <x:v>0</x:v>
      </x:c>
      <x:c r="R7" s="47" t="str">
        <x:f>'Leady B2B'!R7</x:f>
      </x:c>
      <x:c r="S7" s="47" t="str">
        <x:f>'Leady B2B'!S7</x:f>
        <x:v>Bibułki | Bletki | Gilzy papierosowe | Cygaretki | Smoking | Retro | MOODS | Al Capone | Tytoń | Akcesoria</x:v>
      </x:c>
      <x:c r="T7" s="47" t="str">
        <x:f>'Leady B2B'!T7</x:f>
        <x:v>Pełny</x:v>
      </x:c>
      <x:c r="U7" s="47" t="str">
        <x:f>'Leady B2B'!U7</x:f>
        <x:v>Nowy</x:v>
      </x:c>
      <x:c r="V7" s="47" t="str">
        <x:f>'Leady B2B'!V7</x:f>
        <x:v>BILLS — hurt@bills.pl</x:v>
      </x:c>
      <x:c r="W7" s="47" t="str">
        <x:f>'Leady B2B'!W7</x:f>
        <x:v>Telefon do działu zakupów + personalizowany e-mail tego samego dnia</x:v>
      </x:c>
      <x:c r="X7" s="109" t="n">
        <x:f>'Leady B2B'!X7</x:f>
        <x:v>46223</x:v>
      </x:c>
    </x:row>
    <x:row r="8" ht="38" customHeight="1">
      <x:c r="A8" s="101" t="n">
        <x:f>'Leady B2B'!A8</x:f>
        <x:v>6</x:v>
      </x:c>
      <x:c r="B8" s="102" t="str">
        <x:f>'Leady B2B'!B8</x:f>
        <x:v>A1 — kontakt natychmiast</x:v>
      </x:c>
      <x:c r="C8" s="102" t="n">
        <x:f>'Leady B2B'!C8</x:f>
        <x:v>95</x:v>
      </x:c>
      <x:c r="D8" s="47" t="str">
        <x:f>'Leady B2B'!D8</x:f>
        <x:v>Elenpipe</x:v>
      </x:c>
      <x:c r="E8" s="47" t="str">
        <x:f>'Leady B2B'!E8</x:f>
        <x:v>Potencjalny reseller / odbiorca hurtowy</x:v>
      </x:c>
      <x:c r="F8" s="47" t="str">
        <x:f>'Leady B2B'!F8</x:f>
        <x:v>S1 — RYO/MYO, gilzy i nabijarki</x:v>
      </x:c>
      <x:c r="G8" s="47" t="str">
        <x:f>'Leady B2B'!G8</x:f>
        <x:v>Hurt ogólnopolski</x:v>
      </x:c>
      <x:c r="H8" s="47" t="str">
        <x:f>'Leady B2B'!H8</x:f>
        <x:v>Małopolskie</x:v>
      </x:c>
      <x:c r="I8" s="47" t="str">
        <x:f>'Leady B2B'!I8</x:f>
        <x:v>Przemyśl</x:v>
      </x:c>
      <x:c r="J8" s="47" t="str">
        <x:f>'Leady B2B'!J8</x:f>
        <x:v>Duży</x:v>
      </x:c>
      <x:c r="K8" s="47" t="str">
        <x:f>'Leady B2B'!K8</x:f>
        <x:v>elenpipe.pl@gmail.com</x:v>
      </x:c>
      <x:c r="L8" s="47" t="str">
        <x:f>'Leady B2B'!L8</x:f>
        <x:v>+48 91 570 53 60</x:v>
      </x:c>
      <x:c r="M8" s="47" t="str">
        <x:f>'Leady B2B'!M8</x:f>
      </x:c>
      <x:c r="N8" s="47" t="str">
        <x:f>'Leady B2B'!N8</x:f>
      </x:c>
      <x:c r="O8" s="47" t="str">
        <x:f>'Leady B2B'!O8</x:f>
        <x:v>https://elenpipe.com</x:v>
      </x:c>
      <x:c r="P8" s="47" t="str">
        <x:f>'Leady B2B'!P8</x:f>
        <x:v>Chodkiewicza 35A, 37-700 Przemyśl</x:v>
      </x:c>
      <x:c r="Q8" s="47" t="str">
        <x:f>'Leady B2B'!Q8</x:f>
        <x:v>7952526523</x:v>
      </x:c>
      <x:c r="R8" s="47" t="str">
        <x:f>'Leady B2B'!R8</x:f>
      </x:c>
      <x:c r="S8" s="47" t="str">
        <x:f>'Leady B2B'!S8</x:f>
        <x:v>Akcesoria Tytoniowe | Nabijarki &amp; Zwijarki | Tytoń | Cases | Cigarette papers | Electric and manual rolling machines | Filters | Lighters | Tobacco injectors | Akcesoria | RYO | Rdzeń systemu nabijarek</x:v>
      </x:c>
      <x:c r="T8" s="47" t="str">
        <x:f>'Leady B2B'!T8</x:f>
        <x:v>Pełny</x:v>
      </x:c>
      <x:c r="U8" s="47" t="str">
        <x:f>'Leady B2B'!U8</x:f>
        <x:v>Nowy</x:v>
      </x:c>
      <x:c r="V8" s="47" t="str">
        <x:f>'Leady B2B'!V8</x:f>
        <x:v>BILLS — hurt@bills.pl</x:v>
      </x:c>
      <x:c r="W8" s="47" t="str">
        <x:f>'Leady B2B'!W8</x:f>
        <x:v>Telefon do działu zakupów + personalizowany e-mail tego samego dnia</x:v>
      </x:c>
      <x:c r="X8" s="109" t="n">
        <x:f>'Leady B2B'!X8</x:f>
        <x:v>46223</x:v>
      </x:c>
    </x:row>
    <x:row r="9" ht="38" customHeight="1">
      <x:c r="A9" s="101" t="n">
        <x:f>'Leady B2B'!A9</x:f>
        <x:v>7</x:v>
      </x:c>
      <x:c r="B9" s="102" t="str">
        <x:f>'Leady B2B'!B9</x:f>
        <x:v>A1 — kontakt natychmiast</x:v>
      </x:c>
      <x:c r="C9" s="102" t="n">
        <x:f>'Leady B2B'!C9</x:f>
        <x:v>93</x:v>
      </x:c>
      <x:c r="D9" s="47" t="str">
        <x:f>'Leady B2B'!D9</x:f>
        <x:v>PHU BJB Sp. z o.o.</x:v>
      </x:c>
      <x:c r="E9" s="47" t="str">
        <x:f>'Leady B2B'!E9</x:f>
        <x:v>Potencjalny reseller / odbiorca hurtowy</x:v>
      </x:c>
      <x:c r="F9" s="47" t="str">
        <x:f>'Leady B2B'!F9</x:f>
        <x:v>S1 — RYO/MYO, gilzy i nabijarki</x:v>
      </x:c>
      <x:c r="G9" s="47" t="str">
        <x:f>'Leady B2B'!G9</x:f>
        <x:v>Sieć detaliczna/omnichannel</x:v>
      </x:c>
      <x:c r="H9" s="47" t="str">
        <x:f>'Leady B2B'!H9</x:f>
        <x:v>Zachodniopomorskie</x:v>
      </x:c>
      <x:c r="I9" s="47" t="str">
        <x:f>'Leady B2B'!I9</x:f>
        <x:v>Koszalin</x:v>
      </x:c>
      <x:c r="J9" s="47" t="str">
        <x:f>'Leady B2B'!J9</x:f>
        <x:v>Duży</x:v>
      </x:c>
      <x:c r="K9" s="47" t="str">
        <x:f>'Leady B2B'!K9</x:f>
        <x:v>zamowienia@bjb.verde.pl</x:v>
      </x:c>
      <x:c r="L9" s="47" t="str">
        <x:f>'Leady B2B'!L9</x:f>
        <x:v>+48 94 340 49 04</x:v>
      </x:c>
      <x:c r="M9" s="47" t="str">
        <x:f>'Leady B2B'!M9</x:f>
        <x:v>Dział zamówień</x:v>
      </x:c>
      <x:c r="N9" s="47" t="str">
        <x:f>'Leady B2B'!N9</x:f>
        <x:v>Dystrybucja regionalna</x:v>
      </x:c>
      <x:c r="O9" s="47" t="str">
        <x:f>'Leady B2B'!O9</x:f>
        <x:v>http://www.bjb.pl</x:v>
      </x:c>
      <x:c r="P9" s="47" t="str">
        <x:f>'Leady B2B'!P9</x:f>
        <x:v>ul. Klonowa 1, 75-644 Koszalin</x:v>
      </x:c>
      <x:c r="Q9" s="47" t="str">
        <x:f>'Leady B2B'!Q9</x:f>
        <x:v>6692127776</x:v>
      </x:c>
      <x:c r="R9" s="47" t="str">
        <x:f>'Leady B2B'!R9</x:f>
        <x:v>0000121182</x:v>
      </x:c>
      <x:c r="S9" s="47" t="str">
        <x:f>'Leady B2B'!S9</x:f>
        <x:v>Papierosy | Wyroby tytoniowe | FMCG | Tytoń | FMCG</x:v>
      </x:c>
      <x:c r="T9" s="47" t="str">
        <x:f>'Leady B2B'!T9</x:f>
        <x:v>Pełny</x:v>
      </x:c>
      <x:c r="U9" s="47" t="str">
        <x:f>'Leady B2B'!U9</x:f>
        <x:v>Nowy</x:v>
      </x:c>
      <x:c r="V9" s="47" t="str">
        <x:f>'Leady B2B'!V9</x:f>
        <x:v>BILLS — hurt@bills.pl</x:v>
      </x:c>
      <x:c r="W9" s="47" t="str">
        <x:f>'Leady B2B'!W9</x:f>
        <x:v>Telefon do działu zakupów + personalizowany e-mail tego samego dnia</x:v>
      </x:c>
      <x:c r="X9" s="109" t="n">
        <x:f>'Leady B2B'!X9</x:f>
        <x:v>46223</x:v>
      </x:c>
    </x:row>
    <x:row r="10" ht="38" customHeight="1">
      <x:c r="A10" s="101" t="n">
        <x:f>'Leady B2B'!A10</x:f>
        <x:v>8</x:v>
      </x:c>
      <x:c r="B10" s="102" t="str">
        <x:f>'Leady B2B'!B10</x:f>
        <x:v>A1 — kontakt natychmiast</x:v>
      </x:c>
      <x:c r="C10" s="102" t="n">
        <x:f>'Leady B2B'!C10</x:f>
        <x:v>91</x:v>
      </x:c>
      <x:c r="D10" s="47" t="str">
        <x:f>'Leady B2B'!D10</x:f>
        <x:v>West Trading</x:v>
      </x:c>
      <x:c r="E10" s="47" t="str">
        <x:f>'Leady B2B'!E10</x:f>
        <x:v>Potencjalny reseller / odbiorca hurtowy</x:v>
      </x:c>
      <x:c r="F10" s="47" t="str">
        <x:f>'Leady B2B'!F10</x:f>
        <x:v>S1 — RYO/MYO, gilzy i nabijarki</x:v>
      </x:c>
      <x:c r="G10" s="47" t="str">
        <x:f>'Leady B2B'!G10</x:f>
        <x:v>Hurt B2B + detal</x:v>
      </x:c>
      <x:c r="H10" s="47" t="str">
        <x:f>'Leady B2B'!H10</x:f>
        <x:v>Zachodniopomorskie</x:v>
      </x:c>
      <x:c r="I10" s="47" t="str">
        <x:f>'Leady B2B'!I10</x:f>
        <x:v>Szczecin</x:v>
      </x:c>
      <x:c r="J10" s="47" t="str">
        <x:f>'Leady B2B'!J10</x:f>
        <x:v>Średni</x:v>
      </x:c>
      <x:c r="K10" s="47" t="str">
        <x:f>'Leady B2B'!K10</x:f>
        <x:v>zamowienia.szczecin@westtrading.pl; zamowienia.swinoujscie@westtrading.pl</x:v>
      </x:c>
      <x:c r="L10" s="47" t="str">
        <x:f>'Leady B2B'!L10</x:f>
        <x:v>+48 515 739 764; +48 91 460 00 34; +48 695 870 780</x:v>
      </x:c>
      <x:c r="M10" s="47" t="str">
        <x:f>'Leady B2B'!M10</x:f>
        <x:v>Dział zamówień / współpracy B2B</x:v>
      </x:c>
      <x:c r="N10" s="47" t="str">
        <x:f>'Leady B2B'!N10</x:f>
        <x:v>Dział handlowy</x:v>
      </x:c>
      <x:c r="O10" s="47" t="str">
        <x:f>'Leady B2B'!O10</x:f>
        <x:v>https://westtrading.pl</x:v>
      </x:c>
      <x:c r="P10" s="47" t="str">
        <x:f>'Leady B2B'!P10</x:f>
        <x:v>Limonkowa 1, 70-001 Ustowo (Szczecin)</x:v>
      </x:c>
      <x:c r="Q10" s="47" t="n">
        <x:f>'Leady B2B'!Q10</x:f>
        <x:v>0</x:v>
      </x:c>
      <x:c r="R10" s="47" t="str">
        <x:f>'Leady B2B'!R10</x:f>
      </x:c>
      <x:c r="S10" s="47" t="str">
        <x:f>'Leady B2B'!S10</x:f>
        <x:v>Akcesoria Tytoniowe | FMCG | Nabijarki &amp; Zwijarki | Papierosy | Tytoń | Vape &amp; E-papierosy | Hurt | Sklep Tytoniowy</x:v>
      </x:c>
      <x:c r="T10" s="47" t="str">
        <x:f>'Leady B2B'!T10</x:f>
        <x:v>Pełny</x:v>
      </x:c>
      <x:c r="U10" s="47" t="str">
        <x:f>'Leady B2B'!U10</x:f>
        <x:v>Nowy</x:v>
      </x:c>
      <x:c r="V10" s="47" t="str">
        <x:f>'Leady B2B'!V10</x:f>
        <x:v>BILLS — hurt@bills.pl</x:v>
      </x:c>
      <x:c r="W10" s="47" t="str">
        <x:f>'Leady B2B'!W10</x:f>
        <x:v>Telefon do działu zakupów + personalizowany e-mail tego samego dnia</x:v>
      </x:c>
      <x:c r="X10" s="109" t="n">
        <x:f>'Leady B2B'!X10</x:f>
        <x:v>46223</x:v>
      </x:c>
    </x:row>
    <x:row r="11" ht="38" customHeight="1">
      <x:c r="A11" s="101" t="n">
        <x:f>'Leady B2B'!A11</x:f>
        <x:v>9</x:v>
      </x:c>
      <x:c r="B11" s="102" t="str">
        <x:f>'Leady B2B'!B11</x:f>
        <x:v>A1 — kontakt natychmiast</x:v>
      </x:c>
      <x:c r="C11" s="102" t="n">
        <x:f>'Leady B2B'!C11</x:f>
        <x:v>91</x:v>
      </x:c>
      <x:c r="D11" s="47" t="str">
        <x:f>'Leady B2B'!D11</x:f>
        <x:v>Prosmoker Jarosław Szulc</x:v>
      </x:c>
      <x:c r="E11" s="47" t="str">
        <x:f>'Leady B2B'!E11</x:f>
        <x:v>Potencjalny reseller / odbiorca hurtowy</x:v>
      </x:c>
      <x:c r="F11" s="47" t="str">
        <x:f>'Leady B2B'!F11</x:f>
        <x:v>S1 — RYO/MYO, gilzy i nabijarki</x:v>
      </x:c>
      <x:c r="G11" s="47" t="str">
        <x:f>'Leady B2B'!G11</x:f>
        <x:v>Hurt B2B + detal</x:v>
      </x:c>
      <x:c r="H11" s="47" t="str">
        <x:f>'Leady B2B'!H11</x:f>
        <x:v>Mazowieckie</x:v>
      </x:c>
      <x:c r="I11" s="47" t="str">
        <x:f>'Leady B2B'!I11</x:f>
        <x:v>Warszawa</x:v>
      </x:c>
      <x:c r="J11" s="47" t="str">
        <x:f>'Leady B2B'!J11</x:f>
        <x:v>Średni</x:v>
      </x:c>
      <x:c r="K11" s="47" t="str">
        <x:f>'Leady B2B'!K11</x:f>
        <x:v>prosmokerhurt@gmail.com</x:v>
      </x:c>
      <x:c r="L11" s="47" t="str">
        <x:f>'Leady B2B'!L11</x:f>
        <x:v>+48 507 208 897; +48 690 328 062</x:v>
      </x:c>
      <x:c r="M11" s="47" t="n">
        <x:f>'Leady B2B'!M11</x:f>
        <x:v>0</x:v>
      </x:c>
      <x:c r="N11" s="47" t="str">
        <x:f>'Leady B2B'!N11</x:f>
      </x:c>
      <x:c r="O11" s="47" t="str">
        <x:f>'Leady B2B'!O11</x:f>
        <x:v>https://www.prosmoker.pl/</x:v>
      </x:c>
      <x:c r="P11" s="47" t="str">
        <x:f>'Leady B2B'!P11</x:f>
        <x:v>ul. Korkowa 167/204, 04-549 Warszawa</x:v>
      </x:c>
      <x:c r="Q11" s="47" t="str">
        <x:f>'Leady B2B'!Q11</x:f>
        <x:v>1132559176</x:v>
      </x:c>
      <x:c r="R11" s="47" t="str">
        <x:f>'Leady B2B'!R11</x:f>
      </x:c>
      <x:c r="S11" s="47" t="str">
        <x:f>'Leady B2B'!S11</x:f>
        <x:v>Vape &amp; E-papierosy | Liquidy | Akcesoria do e-papierosów | Vape | Akcesoria</x:v>
      </x:c>
      <x:c r="T11" s="47" t="str">
        <x:f>'Leady B2B'!T11</x:f>
        <x:v>Pełny</x:v>
      </x:c>
      <x:c r="U11" s="47" t="str">
        <x:f>'Leady B2B'!U11</x:f>
        <x:v>Nowy</x:v>
      </x:c>
      <x:c r="V11" s="47" t="str">
        <x:f>'Leady B2B'!V11</x:f>
        <x:v>BILLS — hurt@bills.pl</x:v>
      </x:c>
      <x:c r="W11" s="47" t="str">
        <x:f>'Leady B2B'!W11</x:f>
        <x:v>Telefon do działu zakupów + personalizowany e-mail tego samego dnia</x:v>
      </x:c>
      <x:c r="X11" s="109" t="n">
        <x:f>'Leady B2B'!X11</x:f>
        <x:v>46223</x:v>
      </x:c>
    </x:row>
    <x:row r="12" ht="38" customHeight="1">
      <x:c r="A12" s="101" t="n">
        <x:f>'Leady B2B'!A12</x:f>
        <x:v>10</x:v>
      </x:c>
      <x:c r="B12" s="102" t="str">
        <x:f>'Leady B2B'!B12</x:f>
        <x:v>A1 — kontakt natychmiast</x:v>
      </x:c>
      <x:c r="C12" s="102" t="n">
        <x:f>'Leady B2B'!C12</x:f>
        <x:v>91</x:v>
      </x:c>
      <x:c r="D12" s="47" t="str">
        <x:f>'Leady B2B'!D12</x:f>
        <x:v>BATEK Violoncellista Beata</x:v>
      </x:c>
      <x:c r="E12" s="47" t="str">
        <x:f>'Leady B2B'!E12</x:f>
        <x:v>Potencjalny reseller / odbiorca hurtowy</x:v>
      </x:c>
      <x:c r="F12" s="47" t="str">
        <x:f>'Leady B2B'!F12</x:f>
        <x:v>S1 — RYO/MYO, gilzy i nabijarki</x:v>
      </x:c>
      <x:c r="G12" s="47" t="str">
        <x:f>'Leady B2B'!G12</x:f>
        <x:v>Hurt B2B regionalny</x:v>
      </x:c>
      <x:c r="H12" s="47" t="str">
        <x:f>'Leady B2B'!H12</x:f>
        <x:v>Mazowieckie</x:v>
      </x:c>
      <x:c r="I12" s="47" t="str">
        <x:f>'Leady B2B'!I12</x:f>
        <x:v>Legionowo</x:v>
      </x:c>
      <x:c r="J12" s="47" t="str">
        <x:f>'Leady B2B'!J12</x:f>
        <x:v>Średni</x:v>
      </x:c>
      <x:c r="K12" s="47" t="str">
        <x:f>'Leady B2B'!K12</x:f>
        <x:v>batek@batek.pl</x:v>
      </x:c>
      <x:c r="L12" s="47" t="str">
        <x:f>'Leady B2B'!L12</x:f>
        <x:v>+48 695 020 633; +48 22 732 25 11</x:v>
      </x:c>
      <x:c r="M12" s="47" t="str">
        <x:f>'Leady B2B'!M12</x:f>
        <x:v>Beata Violoncellista / Właścicielka</x:v>
      </x:c>
      <x:c r="N12" s="47" t="str">
        <x:f>'Leady B2B'!N12</x:f>
      </x:c>
      <x:c r="O12" s="47" t="str">
        <x:f>'Leady B2B'!O12</x:f>
        <x:v>https://batek.pl/</x:v>
      </x:c>
      <x:c r="P12" s="47" t="str">
        <x:f>'Leady B2B'!P12</x:f>
        <x:v>ul. Obrońców Lwowa 6, 05-119 Legionowo</x:v>
      </x:c>
      <x:c r="Q12" s="47" t="str">
        <x:f>'Leady B2B'!Q12</x:f>
        <x:v>5270159026</x:v>
      </x:c>
      <x:c r="R12" s="47" t="str">
        <x:f>'Leady B2B'!R12</x:f>
      </x:c>
      <x:c r="S12" s="47" t="str">
        <x:f>'Leady B2B'!S12</x:f>
        <x:v>Zapalniczki | Papierośnice | Akcesoria dla palaczy | Akcesoria | Tytoń</x:v>
      </x:c>
      <x:c r="T12" s="47" t="str">
        <x:f>'Leady B2B'!T12</x:f>
        <x:v>Pełny</x:v>
      </x:c>
      <x:c r="U12" s="47" t="str">
        <x:f>'Leady B2B'!U12</x:f>
        <x:v>Nowy</x:v>
      </x:c>
      <x:c r="V12" s="47" t="str">
        <x:f>'Leady B2B'!V12</x:f>
        <x:v>BILLS — hurt@bills.pl</x:v>
      </x:c>
      <x:c r="W12" s="47" t="str">
        <x:f>'Leady B2B'!W12</x:f>
        <x:v>Telefon do działu zakupów + personalizowany e-mail tego samego dnia</x:v>
      </x:c>
      <x:c r="X12" s="109" t="n">
        <x:f>'Leady B2B'!X12</x:f>
        <x:v>46223</x:v>
      </x:c>
    </x:row>
    <x:row r="13" ht="38" customHeight="1">
      <x:c r="A13" s="101" t="n">
        <x:f>'Leady B2B'!A13</x:f>
        <x:v>11</x:v>
      </x:c>
      <x:c r="B13" s="102" t="str">
        <x:f>'Leady B2B'!B13</x:f>
        <x:v>A1 — kontakt natychmiast</x:v>
      </x:c>
      <x:c r="C13" s="102" t="n">
        <x:f>'Leady B2B'!C13</x:f>
        <x:v>90</x:v>
      </x:c>
      <x:c r="D13" s="47" t="str">
        <x:f>'Leady B2B'!D13</x:f>
        <x:v>Lima S.A.</x:v>
      </x:c>
      <x:c r="E13" s="47" t="str">
        <x:f>'Leady B2B'!E13</x:f>
        <x:v>Potencjalny reseller / odbiorca hurtowy</x:v>
      </x:c>
      <x:c r="F13" s="47" t="str">
        <x:f>'Leady B2B'!F13</x:f>
        <x:v>S2 — Hurtownie tytoniowe/FMCG</x:v>
      </x:c>
      <x:c r="G13" s="47" t="str">
        <x:f>'Leady B2B'!G13</x:f>
        <x:v>Hurt ogólnopolski</x:v>
      </x:c>
      <x:c r="H13" s="47" t="str">
        <x:f>'Leady B2B'!H13</x:f>
        <x:v>Mazowieckie</x:v>
      </x:c>
      <x:c r="I13" s="47" t="str">
        <x:f>'Leady B2B'!I13</x:f>
        <x:v>Nationwide (Hq Warsaw, Branches Białystok, Jelenia Góra, Wrocław, Bydgoszcz, Lublin, Gorzów Wielkopolski (Marcinkowskiego 14E, Łódź, Kraków, Warsaw, Opole, Rzeszów, Białystok, Gdańsk, Katowice, Kielce, Olsztyn, Poznań, Koszalin</x:v>
      </x:c>
      <x:c r="J13" s="47" t="str">
        <x:f>'Leady B2B'!J13</x:f>
        <x:v>Duży</x:v>
      </x:c>
      <x:c r="K13" s="47" t="str">
        <x:f>'Leady B2B'!K13</x:f>
        <x:v>hurtownia@lima-warszawa.com</x:v>
      </x:c>
      <x:c r="L13" s="47" t="str">
        <x:f>'Leady B2B'!L13</x:f>
        <x:v>+48 606 689 456; +48 574 666 624</x:v>
      </x:c>
      <x:c r="M13" s="47" t="str">
        <x:f>'Leady B2B'!M13</x:f>
        <x:v>Dział hurtowni</x:v>
      </x:c>
      <x:c r="N13" s="47" t="str">
        <x:f>'Leady B2B'!N13</x:f>
        <x:v>Sprzedaż hurtowa</x:v>
      </x:c>
      <x:c r="O13" s="47" t="str">
        <x:f>'Leady B2B'!O13</x:f>
        <x:v>https://lima-sa.pl</x:v>
      </x:c>
      <x:c r="P13" s="47" t="str">
        <x:f>'Leady B2B'!P13</x:f>
        <x:v>ul. Leonidasa 55/215 oraz ul. Deszczowa 2, Warszawa</x:v>
      </x:c>
      <x:c r="Q13" s="47" t="n">
        <x:f>'Leady B2B'!Q13</x:f>
        <x:v>0</x:v>
      </x:c>
      <x:c r="R13" s="47" t="str">
        <x:f>'Leady B2B'!R13</x:f>
      </x:c>
      <x:c r="S13" s="47" t="str">
        <x:f>'Leady B2B'!S13</x:f>
        <x:v>FMCG | Papierosy | Tytoń | Hurt | Sklep Tytoniowy</x:v>
      </x:c>
      <x:c r="T13" s="47" t="str">
        <x:f>'Leady B2B'!T13</x:f>
        <x:v>Pełny</x:v>
      </x:c>
      <x:c r="U13" s="47" t="str">
        <x:f>'Leady B2B'!U13</x:f>
        <x:v>Nowy</x:v>
      </x:c>
      <x:c r="V13" s="47" t="str">
        <x:f>'Leady B2B'!V13</x:f>
        <x:v>BILLS — hurt@bills.pl</x:v>
      </x:c>
      <x:c r="W13" s="47" t="str">
        <x:f>'Leady B2B'!W13</x:f>
        <x:v>Telefon do działu zakupów + personalizowany e-mail tego samego dnia</x:v>
      </x:c>
      <x:c r="X13" s="109" t="n">
        <x:f>'Leady B2B'!X13</x:f>
        <x:v>46223</x:v>
      </x:c>
    </x:row>
    <x:row r="14" ht="38" customHeight="1">
      <x:c r="A14" s="101" t="n">
        <x:f>'Leady B2B'!A14</x:f>
        <x:v>12</x:v>
      </x:c>
      <x:c r="B14" s="102" t="str">
        <x:f>'Leady B2B'!B14</x:f>
        <x:v>A1 — kontakt natychmiast</x:v>
      </x:c>
      <x:c r="C14" s="102" t="n">
        <x:f>'Leady B2B'!C14</x:f>
        <x:v>89</x:v>
      </x:c>
      <x:c r="D14" s="47" t="str">
        <x:f>'Leady B2B'!D14</x:f>
        <x:v>Pavolt.pl</x:v>
      </x:c>
      <x:c r="E14" s="47" t="str">
        <x:f>'Leady B2B'!E14</x:f>
        <x:v>Potencjalny reseller / odbiorca hurtowy</x:v>
      </x:c>
      <x:c r="F14" s="47" t="str">
        <x:f>'Leady B2B'!F14</x:f>
        <x:v>S1 — RYO/MYO, gilzy i nabijarki</x:v>
      </x:c>
      <x:c r="G14" s="47" t="str">
        <x:f>'Leady B2B'!G14</x:f>
        <x:v>Hurt ogólnopolski</x:v>
      </x:c>
      <x:c r="H14" s="47" t="str">
        <x:f>'Leady B2B'!H14</x:f>
        <x:v>Śląskie</x:v>
      </x:c>
      <x:c r="I14" s="47" t="str">
        <x:f>'Leady B2B'!I14</x:f>
        <x:v>Ogólnopolska</x:v>
      </x:c>
      <x:c r="J14" s="47" t="str">
        <x:f>'Leady B2B'!J14</x:f>
        <x:v>Średni</x:v>
      </x:c>
      <x:c r="K14" s="47" t="str">
        <x:f>'Leady B2B'!K14</x:f>
        <x:v>sklep@pavolt.pl</x:v>
      </x:c>
      <x:c r="L14" s="47" t="str">
        <x:f>'Leady B2B'!L14</x:f>
        <x:v>+48 735 222 777</x:v>
      </x:c>
      <x:c r="M14" s="47" t="str">
        <x:f>'Leady B2B'!M14</x:f>
        <x:v>Właściciel / dział sprzedaży</x:v>
      </x:c>
      <x:c r="N14" s="47" t="str">
        <x:f>'Leady B2B'!N14</x:f>
        <x:v>Sprzedaż internetowa</x:v>
      </x:c>
      <x:c r="O14" s="47" t="str">
        <x:f>'Leady B2B'!O14</x:f>
        <x:v>https://pavolt.pl/nabijarki-c-...</x:v>
      </x:c>
      <x:c r="P14" s="47" t="str">
        <x:f>'Leady B2B'!P14</x:f>
        <x:v>Główna 8, 42-256 Zrębice</x:v>
      </x:c>
      <x:c r="Q14" s="47" t="n">
        <x:f>'Leady B2B'!Q14</x:f>
        <x:v>0</x:v>
      </x:c>
      <x:c r="R14" s="47" t="str">
        <x:f>'Leady B2B'!R14</x:f>
      </x:c>
      <x:c r="S14" s="47" t="str">
        <x:f>'Leady B2B'!S14</x:f>
        <x:v>Nabijarki &amp; Zwijarki | Hurt | Sklep Tytoniowy</x:v>
      </x:c>
      <x:c r="T14" s="47" t="str">
        <x:f>'Leady B2B'!T14</x:f>
        <x:v>Pełny</x:v>
      </x:c>
      <x:c r="U14" s="47" t="str">
        <x:f>'Leady B2B'!U14</x:f>
        <x:v>Nowy</x:v>
      </x:c>
      <x:c r="V14" s="47" t="str">
        <x:f>'Leady B2B'!V14</x:f>
        <x:v>BILLS — hurt@bills.pl</x:v>
      </x:c>
      <x:c r="W14" s="47" t="str">
        <x:f>'Leady B2B'!W14</x:f>
        <x:v>Telefon do działu zakupów + personalizowany e-mail tego samego dnia</x:v>
      </x:c>
      <x:c r="X14" s="109" t="n">
        <x:f>'Leady B2B'!X14</x:f>
        <x:v>46223</x:v>
      </x:c>
    </x:row>
    <x:row r="15" ht="38" customHeight="1">
      <x:c r="A15" s="101" t="n">
        <x:f>'Leady B2B'!A15</x:f>
        <x:v>13</x:v>
      </x:c>
      <x:c r="B15" s="102" t="str">
        <x:f>'Leady B2B'!B15</x:f>
        <x:v>A1 — kontakt natychmiast</x:v>
      </x:c>
      <x:c r="C15" s="102" t="n">
        <x:f>'Leady B2B'!C15</x:f>
        <x:v>89</x:v>
      </x:c>
      <x:c r="D15" s="47" t="str">
        <x:f>'Leady B2B'!D15</x:f>
        <x:v>CK Complex</x:v>
      </x:c>
      <x:c r="E15" s="47" t="str">
        <x:f>'Leady B2B'!E15</x:f>
        <x:v>Potencjalny reseller / odbiorca hurtowy</x:v>
      </x:c>
      <x:c r="F15" s="47" t="str">
        <x:f>'Leady B2B'!F15</x:f>
        <x:v>S1 — RYO/MYO, gilzy i nabijarki</x:v>
      </x:c>
      <x:c r="G15" s="47" t="str">
        <x:f>'Leady B2B'!G15</x:f>
        <x:v>Hurt ogólnopolski</x:v>
      </x:c>
      <x:c r="H15" s="47" t="str">
        <x:f>'Leady B2B'!H15</x:f>
        <x:v>Lubuskie</x:v>
      </x:c>
      <x:c r="I15" s="47" t="str">
        <x:f>'Leady B2B'!I15</x:f>
      </x:c>
      <x:c r="J15" s="47" t="str">
        <x:f>'Leady B2B'!J15</x:f>
        <x:v>Duża</x:v>
      </x:c>
      <x:c r="K15" s="47" t="str">
        <x:f>'Leady B2B'!K15</x:f>
        <x:v>monika.wachel@ckcomplex.pl; b2b@ckcomplex.pl</x:v>
      </x:c>
      <x:c r="L15" s="47" t="str">
        <x:f>'Leady B2B'!L15</x:f>
        <x:v>+48 511 881 411; +48 515 377 435</x:v>
      </x:c>
      <x:c r="M15" s="47" t="str">
        <x:f>'Leady B2B'!M15</x:f>
        <x:v>Monika Wachel</x:v>
      </x:c>
      <x:c r="N15" s="47" t="str">
        <x:f>'Leady B2B'!N15</x:f>
        <x:v>Dyrektor ds. sprzedaży hurtowej</x:v>
      </x:c>
      <x:c r="O15" s="47" t="str">
        <x:f>'Leady B2B'!O15</x:f>
        <x:v>https://ckcomplex.pl</x:v>
      </x:c>
      <x:c r="P15" s="47" t="str">
        <x:f>'Leady B2B'!P15</x:f>
        <x:v>ul. Naftowa 4, 65-705 Zielona Góra</x:v>
      </x:c>
      <x:c r="Q15" s="47" t="str">
        <x:f>'Leady B2B'!Q15</x:f>
        <x:v>9291744080</x:v>
      </x:c>
      <x:c r="R15" s="47" t="str">
        <x:f>'Leady B2B'!R15</x:f>
      </x:c>
      <x:c r="S15" s="47" t="str">
        <x:f>'Leady B2B'!S15</x:f>
        <x:v>Akcesoria Tytoniowe | Bibułki &amp; Bletki | FMCG | Gilzy &amp; Filtry | Nabijarki &amp; Zwijarki</x:v>
      </x:c>
      <x:c r="T15" s="47" t="str">
        <x:f>'Leady B2B'!T15</x:f>
        <x:v>Pełny</x:v>
      </x:c>
      <x:c r="U15" s="47" t="str">
        <x:f>'Leady B2B'!U15</x:f>
        <x:v>Nowy</x:v>
      </x:c>
      <x:c r="V15" s="47" t="str">
        <x:f>'Leady B2B'!V15</x:f>
        <x:v>BILLS — hurt@bills.pl</x:v>
      </x:c>
      <x:c r="W15" s="47" t="str">
        <x:f>'Leady B2B'!W15</x:f>
        <x:v>Telefon do działu zakupów + personalizowany e-mail tego samego dnia</x:v>
      </x:c>
      <x:c r="X15" s="109" t="n">
        <x:f>'Leady B2B'!X15</x:f>
        <x:v>46223</x:v>
      </x:c>
    </x:row>
    <x:row r="16" ht="38" customHeight="1">
      <x:c r="A16" s="101" t="n">
        <x:f>'Leady B2B'!A16</x:f>
        <x:v>14</x:v>
      </x:c>
      <x:c r="B16" s="102" t="str">
        <x:f>'Leady B2B'!B16</x:f>
        <x:v>A1 — kontakt natychmiast</x:v>
      </x:c>
      <x:c r="C16" s="102" t="n">
        <x:f>'Leady B2B'!C16</x:f>
        <x:v>88</x:v>
      </x:c>
      <x:c r="D16" s="47" t="str">
        <x:f>'Leady B2B'!D16</x:f>
        <x:v>IGNIS COMPANY Sp. z o.o. / IGNIS Tobacco</x:v>
      </x:c>
      <x:c r="E16" s="47" t="str">
        <x:f>'Leady B2B'!E16</x:f>
        <x:v>Partner strategiczny / możliwy konflikt produktowy</x:v>
      </x:c>
      <x:c r="F16" s="47" t="str">
        <x:f>'Leady B2B'!F16</x:f>
        <x:v>S1 — RYO/MYO, gilzy i nabijarki</x:v>
      </x:c>
      <x:c r="G16" s="47" t="str">
        <x:f>'Leady B2B'!G16</x:f>
        <x:v>Producent/importer/dystrybutor</x:v>
      </x:c>
      <x:c r="H16" s="47" t="str">
        <x:f>'Leady B2B'!H16</x:f>
        <x:v>Mazowieckie</x:v>
      </x:c>
      <x:c r="I16" s="47" t="str">
        <x:f>'Leady B2B'!I16</x:f>
        <x:v>Warszawa</x:v>
      </x:c>
      <x:c r="J16" s="47" t="str">
        <x:f>'Leady B2B'!J16</x:f>
        <x:v>Średni</x:v>
      </x:c>
      <x:c r="K16" s="47" t="str">
        <x:f>'Leady B2B'!K16</x:f>
        <x:v>sekretariat@eignis.pl; zamowienia@eignis.pl</x:v>
      </x:c>
      <x:c r="L16" s="47" t="str">
        <x:f>'Leady B2B'!L16</x:f>
        <x:v>+48 44 777 00 30; +48 601 373 745</x:v>
      </x:c>
      <x:c r="M16" s="47" t="str">
        <x:f>'Leady B2B'!M16</x:f>
        <x:v>Łukasz Maciejczyk / CEO / właściciel | Justyna Maciejczyk / CEO / zamówienia</x:v>
      </x:c>
      <x:c r="N16" s="47" t="str">
        <x:f>'Leady B2B'!N16</x:f>
      </x:c>
      <x:c r="O16" s="47" t="str">
        <x:f>'Leady B2B'!O16</x:f>
        <x:v>https://ignistobacco.pl/</x:v>
      </x:c>
      <x:c r="P16" s="47" t="str">
        <x:f>'Leady B2B'!P16</x:f>
        <x:v>ul. Szamocka 10C/128, 01-748 Warszawa</x:v>
      </x:c>
      <x:c r="Q16" s="47" t="str">
        <x:f>'Leady B2B'!Q16</x:f>
        <x:v>5252995077</x:v>
      </x:c>
      <x:c r="R16" s="47" t="str">
        <x:f>'Leady B2B'!R16</x:f>
      </x:c>
      <x:c r="S16" s="47" t="str">
        <x:f>'Leady B2B'!S16</x:f>
        <x:v>Gilzy papierosowe | Filtry | Akcesoria Tytoniowe | IGNIS | Tytoń | Akcesoria | RYO/MYO</x:v>
      </x:c>
      <x:c r="T16" s="47" t="str">
        <x:f>'Leady B2B'!T16</x:f>
        <x:v>Pełny</x:v>
      </x:c>
      <x:c r="U16" s="47" t="str">
        <x:f>'Leady B2B'!U16</x:f>
        <x:v>Nowy</x:v>
      </x:c>
      <x:c r="V16" s="47" t="str">
        <x:f>'Leady B2B'!V16</x:f>
        <x:v>BILLS — hurt@bills.pl</x:v>
      </x:c>
      <x:c r="W16" s="47" t="str">
        <x:f>'Leady B2B'!W16</x:f>
        <x:v>Rozmowa strategiczna z dyrektorem handlowym; bez standardowego cold maila</x:v>
      </x:c>
      <x:c r="X16" s="109" t="n">
        <x:f>'Leady B2B'!X16</x:f>
        <x:v>46223</x:v>
      </x:c>
    </x:row>
    <x:row r="17" ht="38" customHeight="1">
      <x:c r="A17" s="101" t="n">
        <x:f>'Leady B2B'!A17</x:f>
        <x:v>15</x:v>
      </x:c>
      <x:c r="B17" s="102" t="str">
        <x:f>'Leady B2B'!B17</x:f>
        <x:v>A1 — kontakt natychmiast</x:v>
      </x:c>
      <x:c r="C17" s="102" t="n">
        <x:f>'Leady B2B'!C17</x:f>
        <x:v>88</x:v>
      </x:c>
      <x:c r="D17" s="47" t="str">
        <x:f>'Leady B2B'!D17</x:f>
        <x:v>Hawana Tabacco / Golden Filter</x:v>
      </x:c>
      <x:c r="E17" s="47" t="str">
        <x:f>'Leady B2B'!E17</x:f>
        <x:v>Partner strategiczny / możliwy konflikt produktowy</x:v>
      </x:c>
      <x:c r="F17" s="47" t="str">
        <x:f>'Leady B2B'!F17</x:f>
        <x:v>S1 — RYO/MYO, gilzy i nabijarki</x:v>
      </x:c>
      <x:c r="G17" s="47" t="str">
        <x:f>'Leady B2B'!G17</x:f>
        <x:v>Producent/importer/dystrybutor</x:v>
      </x:c>
      <x:c r="H17" s="47" t="str">
        <x:f>'Leady B2B'!H17</x:f>
        <x:v>Dolnośląskie</x:v>
      </x:c>
      <x:c r="I17" s="47" t="str">
        <x:f>'Leady B2B'!I17</x:f>
        <x:v>Kamienna Góra</x:v>
      </x:c>
      <x:c r="J17" s="47" t="str">
        <x:f>'Leady B2B'!J17</x:f>
        <x:v>Średni</x:v>
      </x:c>
      <x:c r="K17" s="47" t="str">
        <x:f>'Leady B2B'!K17</x:f>
        <x:v>hawanatabacco@o2.pl</x:v>
      </x:c>
      <x:c r="L17" s="47" t="str">
        <x:f>'Leady B2B'!L17</x:f>
        <x:v>+48 75 744 50 34</x:v>
      </x:c>
      <x:c r="M17" s="47" t="n">
        <x:f>'Leady B2B'!M17</x:f>
        <x:v>0</x:v>
      </x:c>
      <x:c r="N17" s="47" t="str">
        <x:f>'Leady B2B'!N17</x:f>
      </x:c>
      <x:c r="O17" s="47" t="str">
        <x:f>'Leady B2B'!O17</x:f>
        <x:v>https://www.goldenfilter.pl/</x:v>
      </x:c>
      <x:c r="P17" s="47" t="str">
        <x:f>'Leady B2B'!P17</x:f>
        <x:v>ul. Wałbrzyska 18, 58-400 Kamienna Góra</x:v>
      </x:c>
      <x:c r="Q17" s="47" t="str">
        <x:f>'Leady B2B'!Q17</x:f>
      </x:c>
      <x:c r="R17" s="47" t="str">
        <x:f>'Leady B2B'!R17</x:f>
      </x:c>
      <x:c r="S17" s="47" t="str">
        <x:f>'Leady B2B'!S17</x:f>
        <x:v>Gilzy papierosowe | Filtry | Bibułki | Akcesoria Tytoniowe | Golden Filter | Tytoń | Akcesoria | RYO/MYO</x:v>
      </x:c>
      <x:c r="T17" s="47" t="str">
        <x:f>'Leady B2B'!T17</x:f>
        <x:v>Pełny</x:v>
      </x:c>
      <x:c r="U17" s="47" t="str">
        <x:f>'Leady B2B'!U17</x:f>
        <x:v>Nowy</x:v>
      </x:c>
      <x:c r="V17" s="47" t="str">
        <x:f>'Leady B2B'!V17</x:f>
        <x:v>BILLS — hurt@bills.pl</x:v>
      </x:c>
      <x:c r="W17" s="47" t="str">
        <x:f>'Leady B2B'!W17</x:f>
        <x:v>Rozmowa strategiczna z dyrektorem handlowym; bez standardowego cold maila</x:v>
      </x:c>
      <x:c r="X17" s="109" t="n">
        <x:f>'Leady B2B'!X17</x:f>
        <x:v>46223</x:v>
      </x:c>
    </x:row>
    <x:row r="18" ht="38" customHeight="1">
      <x:c r="A18" s="101" t="n">
        <x:f>'Leady B2B'!A18</x:f>
        <x:v>16</x:v>
      </x:c>
      <x:c r="B18" s="102" t="str">
        <x:f>'Leady B2B'!B18</x:f>
        <x:v>A1 — kontakt natychmiast</x:v>
      </x:c>
      <x:c r="C18" s="102" t="n">
        <x:f>'Leady B2B'!C18</x:f>
        <x:v>88</x:v>
      </x:c>
      <x:c r="D18" s="47" t="str">
        <x:f>'Leady B2B'!D18</x:f>
        <x:v>Eurus Sp. z o.o. / Clipper Polska</x:v>
      </x:c>
      <x:c r="E18" s="47" t="str">
        <x:f>'Leady B2B'!E18</x:f>
        <x:v>Partner dystrybucyjny/importer</x:v>
      </x:c>
      <x:c r="F18" s="47" t="str">
        <x:f>'Leady B2B'!F18</x:f>
        <x:v>S3 — Akcesoria dla palaczy/headshop</x:v>
      </x:c>
      <x:c r="G18" s="47" t="str">
        <x:f>'Leady B2B'!G18</x:f>
        <x:v>Importer/dystrybutor krajowy</x:v>
      </x:c>
      <x:c r="H18" s="47" t="str">
        <x:f>'Leady B2B'!H18</x:f>
        <x:v>Podlaskie</x:v>
      </x:c>
      <x:c r="I18" s="47" t="str">
        <x:f>'Leady B2B'!I18</x:f>
        <x:v>Białystok</x:v>
      </x:c>
      <x:c r="J18" s="47" t="str">
        <x:f>'Leady B2B'!J18</x:f>
        <x:v>Duży</x:v>
      </x:c>
      <x:c r="K18" s="47" t="str">
        <x:f>'Leady B2B'!K18</x:f>
        <x:v>sklep@clipperpolska.pl</x:v>
      </x:c>
      <x:c r="L18" s="47" t="str">
        <x:f>'Leady B2B'!L18</x:f>
        <x:v>+48 798 522 522</x:v>
      </x:c>
      <x:c r="M18" s="47" t="n">
        <x:f>'Leady B2B'!M18</x:f>
        <x:v>0</x:v>
      </x:c>
      <x:c r="N18" s="47" t="str">
        <x:f>'Leady B2B'!N18</x:f>
      </x:c>
      <x:c r="O18" s="47" t="str">
        <x:f>'Leady B2B'!O18</x:f>
        <x:v>https://www.clipperpolska.pl</x:v>
      </x:c>
      <x:c r="P18" s="47" t="str">
        <x:f>'Leady B2B'!P18</x:f>
        <x:v>ul. Hurtowa 8, 15-399 Białystok</x:v>
      </x:c>
      <x:c r="Q18" s="47" t="str">
        <x:f>'Leady B2B'!Q18</x:f>
        <x:v>5423094347</x:v>
      </x:c>
      <x:c r="R18" s="47" t="str">
        <x:f>'Leady B2B'!R18</x:f>
        <x:v>0000314581</x:v>
      </x:c>
      <x:c r="S18" s="47" t="str">
        <x:f>'Leady B2B'!S18</x:f>
        <x:v>Zapalniczki Clipper | Akcesoria Tytoniowe | Produkty przykasowe | Clipper | Zapalniczki | Akcesoria dla palaczy | Artykuły impulsowe</x:v>
      </x:c>
      <x:c r="T18" s="47" t="str">
        <x:f>'Leady B2B'!T18</x:f>
        <x:v>Pełny</x:v>
      </x:c>
      <x:c r="U18" s="47" t="str">
        <x:f>'Leady B2B'!U18</x:f>
        <x:v>Nowy</x:v>
      </x:c>
      <x:c r="V18" s="47" t="str">
        <x:f>'Leady B2B'!V18</x:f>
        <x:v>BILLS — hurt@bills.pl</x:v>
      </x:c>
      <x:c r="W18" s="47" t="str">
        <x:f>'Leady B2B'!W18</x:f>
        <x:v>Telefon do działu zakupów + personalizowany e-mail tego samego dnia</x:v>
      </x:c>
      <x:c r="X18" s="109" t="n">
        <x:f>'Leady B2B'!X18</x:f>
        <x:v>46223</x:v>
      </x:c>
    </x:row>
    <x:row r="19" ht="38" customHeight="1">
      <x:c r="A19" s="101" t="n">
        <x:f>'Leady B2B'!A19</x:f>
        <x:v>17</x:v>
      </x:c>
      <x:c r="B19" s="102" t="str">
        <x:f>'Leady B2B'!B19</x:f>
        <x:v>A1 — kontakt natychmiast</x:v>
      </x:c>
      <x:c r="C19" s="102" t="n">
        <x:f>'Leady B2B'!C19</x:f>
        <x:v>88</x:v>
      </x:c>
      <x:c r="D19" s="47" t="str">
        <x:f>'Leady B2B'!D19</x:f>
        <x:v>BetaFlame / Firma Handlowa BETA Katarzyna Ślifierz</x:v>
      </x:c>
      <x:c r="E19" s="47" t="str">
        <x:f>'Leady B2B'!E19</x:f>
        <x:v>Partner dystrybucyjny/importer</x:v>
      </x:c>
      <x:c r="F19" s="47" t="str">
        <x:f>'Leady B2B'!F19</x:f>
        <x:v>S3 — Akcesoria dla palaczy/headshop</x:v>
      </x:c>
      <x:c r="G19" s="47" t="str">
        <x:f>'Leady B2B'!G19</x:f>
        <x:v>Importer/dystrybutor krajowy</x:v>
      </x:c>
      <x:c r="H19" s="47" t="str">
        <x:f>'Leady B2B'!H19</x:f>
        <x:v>Śląskie</x:v>
      </x:c>
      <x:c r="I19" s="47" t="str">
        <x:f>'Leady B2B'!I19</x:f>
        <x:v>Tychy</x:v>
      </x:c>
      <x:c r="J19" s="47" t="str">
        <x:f>'Leady B2B'!J19</x:f>
        <x:v>Duży</x:v>
      </x:c>
      <x:c r="K19" s="47" t="str">
        <x:f>'Leady B2B'!K19</x:f>
        <x:v>hurt@betaflame.pl</x:v>
      </x:c>
      <x:c r="L19" s="47" t="str">
        <x:f>'Leady B2B'!L19</x:f>
        <x:v>+48 606 920 076</x:v>
      </x:c>
      <x:c r="M19" s="47" t="str">
        <x:f>'Leady B2B'!M19</x:f>
      </x:c>
      <x:c r="N19" s="47" t="str">
        <x:f>'Leady B2B'!N19</x:f>
      </x:c>
      <x:c r="O19" s="47" t="str">
        <x:f>'Leady B2B'!O19</x:f>
        <x:v>https://betaflame.pl</x:v>
      </x:c>
      <x:c r="P19" s="47" t="str">
        <x:f>'Leady B2B'!P19</x:f>
        <x:v>ul. Przemysłowa 60, 43-100 Tychy</x:v>
      </x:c>
      <x:c r="Q19" s="47" t="str">
        <x:f>'Leady B2B'!Q19</x:f>
        <x:v>6462019385</x:v>
      </x:c>
      <x:c r="R19" s="47" t="str">
        <x:f>'Leady B2B'!R19</x:f>
      </x:c>
      <x:c r="S19" s="47" t="str">
        <x:f>'Leady B2B'!S19</x:f>
        <x:v>Zapalniczki | Papierośnice | Popielniczki | Akcesoria Tytoniowe | Akcesoria dla palaczy | Zapalniczki | Artykuły impulsowe</x:v>
      </x:c>
      <x:c r="T19" s="47" t="str">
        <x:f>'Leady B2B'!T19</x:f>
        <x:v>Pełny</x:v>
      </x:c>
      <x:c r="U19" s="47" t="str">
        <x:f>'Leady B2B'!U19</x:f>
        <x:v>Nowy</x:v>
      </x:c>
      <x:c r="V19" s="47" t="str">
        <x:f>'Leady B2B'!V19</x:f>
        <x:v>BILLS — hurt@bills.pl</x:v>
      </x:c>
      <x:c r="W19" s="47" t="str">
        <x:f>'Leady B2B'!W19</x:f>
        <x:v>Telefon do działu zakupów + personalizowany e-mail tego samego dnia</x:v>
      </x:c>
      <x:c r="X19" s="109" t="n">
        <x:f>'Leady B2B'!X19</x:f>
        <x:v>46223</x:v>
      </x:c>
    </x:row>
    <x:row r="20" ht="38" customHeight="1">
      <x:c r="A20" s="101" t="n">
        <x:f>'Leady B2B'!A20</x:f>
        <x:v>18</x:v>
      </x:c>
      <x:c r="B20" s="102" t="str">
        <x:f>'Leady B2B'!B20</x:f>
        <x:v>A1 — kontakt natychmiast</x:v>
      </x:c>
      <x:c r="C20" s="102" t="n">
        <x:f>'Leady B2B'!C20</x:f>
        <x:v>86</x:v>
      </x:c>
      <x:c r="D20" s="47" t="str">
        <x:f>'Leady B2B'!D20</x:f>
        <x:v>SklepTytoniowy.pl</x:v>
      </x:c>
      <x:c r="E20" s="47" t="str">
        <x:f>'Leady B2B'!E20</x:f>
        <x:v>Potencjalny reseller / odbiorca hurtowy</x:v>
      </x:c>
      <x:c r="F20" s="47" t="str">
        <x:f>'Leady B2B'!F20</x:f>
        <x:v>S1 — RYO/MYO, gilzy i nabijarki</x:v>
      </x:c>
      <x:c r="G20" s="47" t="str">
        <x:f>'Leady B2B'!G20</x:f>
        <x:v>Hurt B2B + detal</x:v>
      </x:c>
      <x:c r="H20" s="47" t="str">
        <x:f>'Leady B2B'!H20</x:f>
        <x:v>Wielkopolskie</x:v>
      </x:c>
      <x:c r="I20" s="47" t="str">
        <x:f>'Leady B2B'!I20</x:f>
      </x:c>
      <x:c r="J20" s="47" t="str">
        <x:f>'Leady B2B'!J20</x:f>
        <x:v>Średni</x:v>
      </x:c>
      <x:c r="K20" s="47" t="str">
        <x:f>'Leady B2B'!K20</x:f>
        <x:v>biuro@skleptytoniowy.pl</x:v>
      </x:c>
      <x:c r="L20" s="47" t="str">
        <x:f>'Leady B2B'!L20</x:f>
        <x:v>+48 62 767 46 07; +48 515 230 341</x:v>
      </x:c>
      <x:c r="M20" s="47" t="str">
        <x:f>'Leady B2B'!M20</x:f>
        <x:v>Dział handlowy Tabak Grupa</x:v>
      </x:c>
      <x:c r="N20" s="47" t="str">
        <x:f>'Leady B2B'!N20</x:f>
        <x:v>Internetowa hurtownia tytoniowa</x:v>
      </x:c>
      <x:c r="O20" s="47" t="str">
        <x:f>'Leady B2B'!O20</x:f>
        <x:v>https://skleptytoniowy.pl</x:v>
      </x:c>
      <x:c r="P20" s="47" t="str">
        <x:f>'Leady B2B'!P20</x:f>
        <x:v>ul. Złota 126, 62-800 Kalisz</x:v>
      </x:c>
      <x:c r="Q20" s="47" t="n">
        <x:f>'Leady B2B'!Q20</x:f>
        <x:v>0</x:v>
      </x:c>
      <x:c r="R20" s="47" t="str">
        <x:f>'Leady B2B'!R20</x:f>
      </x:c>
      <x:c r="S20" s="47" t="str">
        <x:f>'Leady B2B'!S20</x:f>
        <x:v>Nabijarki &amp; Zwijarki | Papierosy | Tytoń | Hurt | Sklep Tytoniowy</x:v>
      </x:c>
      <x:c r="T20" s="47" t="str">
        <x:f>'Leady B2B'!T20</x:f>
        <x:v>Pełny</x:v>
      </x:c>
      <x:c r="U20" s="47" t="str">
        <x:f>'Leady B2B'!U20</x:f>
        <x:v>Nowy</x:v>
      </x:c>
      <x:c r="V20" s="47" t="str">
        <x:f>'Leady B2B'!V20</x:f>
        <x:v>BILLS — hurt@bills.pl</x:v>
      </x:c>
      <x:c r="W20" s="47" t="str">
        <x:f>'Leady B2B'!W20</x:f>
        <x:v>Telefon do działu zakupów + personalizowany e-mail tego samego dnia</x:v>
      </x:c>
      <x:c r="X20" s="109" t="n">
        <x:f>'Leady B2B'!X20</x:f>
        <x:v>46223</x:v>
      </x:c>
    </x:row>
    <x:row r="21" ht="38" customHeight="1">
      <x:c r="A21" s="101" t="n">
        <x:f>'Leady B2B'!A21</x:f>
        <x:v>19</x:v>
      </x:c>
      <x:c r="B21" s="102" t="str">
        <x:f>'Leady B2B'!B21</x:f>
        <x:v>A1 — kontakt natychmiast</x:v>
      </x:c>
      <x:c r="C21" s="102" t="n">
        <x:f>'Leady B2B'!C21</x:f>
        <x:v>86</x:v>
      </x:c>
      <x:c r="D21" s="47" t="str">
        <x:f>'Leady B2B'!D21</x:f>
        <x:v>Dopalenia.pl</x:v>
      </x:c>
      <x:c r="E21" s="47" t="str">
        <x:f>'Leady B2B'!E21</x:f>
        <x:v>Potencjalny reseller / odbiorca hurtowy</x:v>
      </x:c>
      <x:c r="F21" s="47" t="str">
        <x:f>'Leady B2B'!F21</x:f>
        <x:v>S1 — RYO/MYO, gilzy i nabijarki</x:v>
      </x:c>
      <x:c r="G21" s="47" t="str">
        <x:f>'Leady B2B'!G21</x:f>
        <x:v>Hurt B2B + detal</x:v>
      </x:c>
      <x:c r="H21" s="47" t="str">
        <x:f>'Leady B2B'!H21</x:f>
        <x:v>Łódzkie</x:v>
      </x:c>
      <x:c r="I21" s="47" t="str">
        <x:f>'Leady B2B'!I21</x:f>
        <x:v>Konstantynów Łódzki</x:v>
      </x:c>
      <x:c r="J21" s="47" t="str">
        <x:f>'Leady B2B'!J21</x:f>
        <x:v>Mały</x:v>
      </x:c>
      <x:c r="K21" s="47" t="str">
        <x:f>'Leady B2B'!K21</x:f>
        <x:v>sklep@dopalenia.pl</x:v>
      </x:c>
      <x:c r="L21" s="47" t="str">
        <x:f>'Leady B2B'!L21</x:f>
        <x:v>665-852-033</x:v>
      </x:c>
      <x:c r="M21" s="47" t="str">
        <x:f>'Leady B2B'!M21</x:f>
      </x:c>
      <x:c r="N21" s="47" t="str">
        <x:f>'Leady B2B'!N21</x:f>
      </x:c>
      <x:c r="O21" s="47" t="str">
        <x:f>'Leady B2B'!O21</x:f>
        <x:v>https://dopalenia.pl/nabijarki...</x:v>
      </x:c>
      <x:c r="P21" s="47" t="str">
        <x:f>'Leady B2B'!P21</x:f>
        <x:v>Poland</x:v>
      </x:c>
      <x:c r="Q21" s="47" t="str">
        <x:f>'Leady B2B'!Q21</x:f>
        <x:v>7311693836</x:v>
      </x:c>
      <x:c r="R21" s="47" t="str">
        <x:f>'Leady B2B'!R21</x:f>
      </x:c>
      <x:c r="S21" s="47" t="str">
        <x:f>'Leady B2B'!S21</x:f>
        <x:v>Akcesoria Tytoniowe | Nabijarki &amp; Zwijarki | Papierosy | Tytoń | OCB Easy Slide injectors | Powermatic III automatic injector | Zen injector machines for 100/80 tubes | RYO | Rdzeń systemu nabijarek</x:v>
      </x:c>
      <x:c r="T21" s="47" t="str">
        <x:f>'Leady B2B'!T21</x:f>
        <x:v>Pełny</x:v>
      </x:c>
      <x:c r="U21" s="47" t="str">
        <x:f>'Leady B2B'!U21</x:f>
        <x:v>Nowy</x:v>
      </x:c>
      <x:c r="V21" s="47" t="str">
        <x:f>'Leady B2B'!V21</x:f>
        <x:v>BILLS — hurt@bills.pl</x:v>
      </x:c>
      <x:c r="W21" s="47" t="str">
        <x:f>'Leady B2B'!W21</x:f>
        <x:v>Telefon do działu zakupów + personalizowany e-mail tego samego dnia</x:v>
      </x:c>
      <x:c r="X21" s="109" t="n">
        <x:f>'Leady B2B'!X21</x:f>
        <x:v>46223</x:v>
      </x:c>
    </x:row>
    <x:row r="22" ht="38" customHeight="1">
      <x:c r="A22" s="101" t="n">
        <x:f>'Leady B2B'!A22</x:f>
        <x:v>20</x:v>
      </x:c>
      <x:c r="B22" s="102" t="str">
        <x:f>'Leady B2B'!B22</x:f>
        <x:v>A1 — kontakt natychmiast</x:v>
      </x:c>
      <x:c r="C22" s="102" t="n">
        <x:f>'Leady B2B'!C22</x:f>
        <x:v>84</x:v>
      </x:c>
      <x:c r="D22" s="47" t="str">
        <x:f>'Leady B2B'!D22</x:f>
        <x:v>i-Want! (Hurtownia i-Want!)</x:v>
      </x:c>
      <x:c r="E22" s="47" t="str">
        <x:f>'Leady B2B'!E22</x:f>
        <x:v>Potencjalny reseller / odbiorca hurtowy</x:v>
      </x:c>
      <x:c r="F22" s="47" t="str">
        <x:f>'Leady B2B'!F22</x:f>
        <x:v>S1 — RYO/MYO, gilzy i nabijarki</x:v>
      </x:c>
      <x:c r="G22" s="47" t="str">
        <x:f>'Leady B2B'!G22</x:f>
        <x:v>Hurt ogólnopolski</x:v>
      </x:c>
      <x:c r="H22" s="47" t="str">
        <x:f>'Leady B2B'!H22</x:f>
        <x:v>Wielkopolskie</x:v>
      </x:c>
      <x:c r="I22" s="47" t="str">
        <x:f>'Leady B2B'!I22</x:f>
      </x:c>
      <x:c r="J22" s="47" t="str">
        <x:f>'Leady B2B'!J22</x:f>
        <x:v>Mały</x:v>
      </x:c>
      <x:c r="K22" s="47" t="str">
        <x:f>'Leady B2B'!K22</x:f>
        <x:v>hurt@i-want.pl</x:v>
      </x:c>
      <x:c r="L22" s="47" t="str">
        <x:f>'Leady B2B'!L22</x:f>
        <x:v>+48 500 528 972; +48 513 954 493 wew. 4</x:v>
      </x:c>
      <x:c r="M22" s="47" t="str">
        <x:f>'Leady B2B'!M22</x:f>
        <x:v>Dział hurtowy</x:v>
      </x:c>
      <x:c r="N22" s="47" t="str">
        <x:f>'Leady B2B'!N22</x:f>
        <x:v>Sprzedaż B2B</x:v>
      </x:c>
      <x:c r="O22" s="47" t="str">
        <x:f>'Leady B2B'!O22</x:f>
        <x:v>https://i-want.pl</x:v>
      </x:c>
      <x:c r="P22" s="47" t="str">
        <x:f>'Leady B2B'!P22</x:f>
        <x:v>Magazynowa 10, 62-030 Luboń</x:v>
      </x:c>
      <x:c r="Q22" s="47" t="str">
        <x:f>'Leady B2B'!Q22</x:f>
        <x:v>7831904759</x:v>
      </x:c>
      <x:c r="R22" s="47" t="str">
        <x:f>'Leady B2B'!R22</x:f>
        <x:v>0001107505</x:v>
      </x:c>
      <x:c r="S22" s="47" t="str">
        <x:f>'Leady B2B'!S22</x:f>
        <x:v>Nabijarki &amp; Zwijarki | Electric injector RED 03 and similar 8 mm tube machines | Rdzeń systemu nabijarek</x:v>
      </x:c>
      <x:c r="T22" s="47" t="str">
        <x:f>'Leady B2B'!T22</x:f>
        <x:v>Pełny</x:v>
      </x:c>
      <x:c r="U22" s="47" t="str">
        <x:f>'Leady B2B'!U22</x:f>
        <x:v>Nowy</x:v>
      </x:c>
      <x:c r="V22" s="47" t="str">
        <x:f>'Leady B2B'!V22</x:f>
        <x:v>BILLS — hurt@bills.pl</x:v>
      </x:c>
      <x:c r="W22" s="47" t="str">
        <x:f>'Leady B2B'!W22</x:f>
        <x:v>Telefon do działu zakupów + personalizowany e-mail tego samego dnia</x:v>
      </x:c>
      <x:c r="X22" s="109" t="n">
        <x:f>'Leady B2B'!X22</x:f>
        <x:v>46223</x:v>
      </x:c>
    </x:row>
    <x:row r="23" ht="38" customHeight="1">
      <x:c r="A23" s="101" t="n">
        <x:f>'Leady B2B'!A23</x:f>
        <x:v>21</x:v>
      </x:c>
      <x:c r="B23" s="102" t="str">
        <x:f>'Leady B2B'!B23</x:f>
        <x:v>A1 — kontakt natychmiast</x:v>
      </x:c>
      <x:c r="C23" s="102" t="n">
        <x:f>'Leady B2B'!C23</x:f>
        <x:v>84</x:v>
      </x:c>
      <x:c r="D23" s="47" t="str">
        <x:f>'Leady B2B'!D23</x:f>
        <x:v>TOM Polska Sp. z o.o.</x:v>
      </x:c>
      <x:c r="E23" s="47" t="str">
        <x:f>'Leady B2B'!E23</x:f>
        <x:v>Partner dystrybucyjny/importer</x:v>
      </x:c>
      <x:c r="F23" s="47" t="str">
        <x:f>'Leady B2B'!F23</x:f>
        <x:v>S3 — Akcesoria dla palaczy/headshop</x:v>
      </x:c>
      <x:c r="G23" s="47" t="str">
        <x:f>'Leady B2B'!G23</x:f>
        <x:v>Importer/dystrybutor krajowy</x:v>
      </x:c>
      <x:c r="H23" s="47" t="str">
        <x:f>'Leady B2B'!H23</x:f>
        <x:v>Opolskie</x:v>
      </x:c>
      <x:c r="I23" s="47" t="str">
        <x:f>'Leady B2B'!I23</x:f>
        <x:v>Kalisz</x:v>
      </x:c>
      <x:c r="J23" s="47" t="str">
        <x:f>'Leady B2B'!J23</x:f>
        <x:v>Średni</x:v>
      </x:c>
      <x:c r="K23" s="47" t="str">
        <x:f>'Leady B2B'!K23</x:f>
        <x:v>biuro@tompolska.pl</x:v>
      </x:c>
      <x:c r="L23" s="47" t="str">
        <x:f>'Leady B2B'!L23</x:f>
        <x:v>+48 504 154 210</x:v>
      </x:c>
      <x:c r="M23" s="47" t="str">
        <x:f>'Leady B2B'!M23</x:f>
      </x:c>
      <x:c r="N23" s="47" t="str">
        <x:f>'Leady B2B'!N23</x:f>
      </x:c>
      <x:c r="O23" s="47" t="str">
        <x:f>'Leady B2B'!O23</x:f>
        <x:v>https://www.tompolska.pl</x:v>
      </x:c>
      <x:c r="P23" s="47" t="str">
        <x:f>'Leady B2B'!P23</x:f>
        <x:v>ul. Drukarzy 5, 62-800 Kalisz</x:v>
      </x:c>
      <x:c r="Q23" s="47" t="n">
        <x:f>'Leady B2B'!Q23</x:f>
        <x:v>0</x:v>
      </x:c>
      <x:c r="R23" s="47" t="str">
        <x:f>'Leady B2B'!R23</x:f>
      </x:c>
      <x:c r="S23" s="47" t="str">
        <x:f>'Leady B2B'!S23</x:f>
        <x:v>Zapalniczki | Palniki | Zapalarki | Akcesoria Tytoniowe | Zapalniczki | Akcesoria dla palaczy | Artykuły reklamowe</x:v>
      </x:c>
      <x:c r="T23" s="47" t="str">
        <x:f>'Leady B2B'!T23</x:f>
        <x:v>Pełny</x:v>
      </x:c>
      <x:c r="U23" s="47" t="str">
        <x:f>'Leady B2B'!U23</x:f>
        <x:v>Nowy</x:v>
      </x:c>
      <x:c r="V23" s="47" t="str">
        <x:f>'Leady B2B'!V23</x:f>
        <x:v>BILLS — hurt@bills.pl</x:v>
      </x:c>
      <x:c r="W23" s="47" t="str">
        <x:f>'Leady B2B'!W23</x:f>
        <x:v>Telefon do działu zakupów + personalizowany e-mail tego samego dnia</x:v>
      </x:c>
      <x:c r="X23" s="109" t="n">
        <x:f>'Leady B2B'!X23</x:f>
        <x:v>46223</x:v>
      </x:c>
    </x:row>
    <x:row r="24" ht="38" customHeight="1">
      <x:c r="A24" s="101" t="n">
        <x:f>'Leady B2B'!A24</x:f>
        <x:v>22</x:v>
      </x:c>
      <x:c r="B24" s="102" t="str">
        <x:f>'Leady B2B'!B24</x:f>
        <x:v>A1 — kontakt natychmiast</x:v>
      </x:c>
      <x:c r="C24" s="102" t="n">
        <x:f>'Leady B2B'!C24</x:f>
        <x:v>84</x:v>
      </x:c>
      <x:c r="D24" s="47" t="str">
        <x:f>'Leady B2B'!D24</x:f>
        <x:v>Don Marco International Sp. z o.o.</x:v>
      </x:c>
      <x:c r="E24" s="47" t="str">
        <x:f>'Leady B2B'!E24</x:f>
        <x:v>Potencjalny reseller / odbiorca hurtowy</x:v>
      </x:c>
      <x:c r="F24" s="47" t="str">
        <x:f>'Leady B2B'!F24</x:f>
        <x:v>S1 — RYO/MYO, gilzy i nabijarki</x:v>
      </x:c>
      <x:c r="G24" s="47" t="str">
        <x:f>'Leady B2B'!G24</x:f>
        <x:v>Hurt ogólnopolski</x:v>
      </x:c>
      <x:c r="H24" s="47" t="str">
        <x:f>'Leady B2B'!H24</x:f>
        <x:v>Pomorskie</x:v>
      </x:c>
      <x:c r="I24" s="47" t="str">
        <x:f>'Leady B2B'!I24</x:f>
      </x:c>
      <x:c r="J24" s="47" t="str">
        <x:f>'Leady B2B'!J24</x:f>
        <x:v>Mały</x:v>
      </x:c>
      <x:c r="K24" s="47" t="str">
        <x:f>'Leady B2B'!K24</x:f>
        <x:v>donmarco@donmarco.pl</x:v>
      </x:c>
      <x:c r="L24" s="47" t="str">
        <x:f>'Leady B2B'!L24</x:f>
        <x:v>+48 882 551 017; +48 602 264 080</x:v>
      </x:c>
      <x:c r="M24" s="47" t="str">
        <x:f>'Leady B2B'!M24</x:f>
        <x:v>Dział zamówień i wysyłek</x:v>
      </x:c>
      <x:c r="N24" s="47" t="str">
        <x:f>'Leady B2B'!N24</x:f>
        <x:v>Importer i dystrybutor</x:v>
      </x:c>
      <x:c r="O24" s="47" t="str">
        <x:f>'Leady B2B'!O24</x:f>
        <x:v>https://donmarco.pl</x:v>
      </x:c>
      <x:c r="P24" s="47" t="str">
        <x:f>'Leady B2B'!P24</x:f>
        <x:v>ul. Jodłowa 20, 80-633 Gdańsk; magazyn: ul. Budowlanych 15A, Gdańsk</x:v>
      </x:c>
      <x:c r="Q24" s="47" t="n">
        <x:f>'Leady B2B'!Q24</x:f>
        <x:v>0</x:v>
      </x:c>
      <x:c r="R24" s="47" t="str">
        <x:f>'Leady B2B'!R24</x:f>
      </x:c>
      <x:c r="S24" s="47" t="str">
        <x:f>'Leady B2B'!S24</x:f>
        <x:v>Nabijarki &amp; Zwijarki | Cigarette rollers | Fillers | Manual rolling machines | Rdzeń systemu nabijarek</x:v>
      </x:c>
      <x:c r="T24" s="47" t="str">
        <x:f>'Leady B2B'!T24</x:f>
        <x:v>Pełny</x:v>
      </x:c>
      <x:c r="U24" s="47" t="str">
        <x:f>'Leady B2B'!U24</x:f>
        <x:v>Nowy</x:v>
      </x:c>
      <x:c r="V24" s="47" t="str">
        <x:f>'Leady B2B'!V24</x:f>
        <x:v>BILLS — hurt@bills.pl</x:v>
      </x:c>
      <x:c r="W24" s="47" t="str">
        <x:f>'Leady B2B'!W24</x:f>
        <x:v>Telefon do działu zakupów + personalizowany e-mail tego samego dnia</x:v>
      </x:c>
      <x:c r="X24" s="109" t="n">
        <x:f>'Leady B2B'!X24</x:f>
        <x:v>46223</x:v>
      </x:c>
    </x:row>
    <x:row r="25" ht="38" customHeight="1">
      <x:c r="A25" s="101" t="n">
        <x:f>'Leady B2B'!A25</x:f>
        <x:v>23</x:v>
      </x:c>
      <x:c r="B25" s="102" t="str">
        <x:f>'Leady B2B'!B25</x:f>
        <x:v>A1 — kontakt natychmiast</x:v>
      </x:c>
      <x:c r="C25" s="102" t="n">
        <x:f>'Leady B2B'!C25</x:f>
        <x:v>83</x:v>
      </x:c>
      <x:c r="D25" s="47" t="str">
        <x:f>'Leady B2B'!D25</x:f>
        <x:v>MRC Trade</x:v>
      </x:c>
      <x:c r="E25" s="47" t="str">
        <x:f>'Leady B2B'!E25</x:f>
        <x:v>Partner strategiczny / możliwy konflikt produktowy</x:v>
      </x:c>
      <x:c r="F25" s="47" t="str">
        <x:f>'Leady B2B'!F25</x:f>
        <x:v>S1 — RYO/MYO, gilzy i nabijarki</x:v>
      </x:c>
      <x:c r="G25" s="47" t="str">
        <x:f>'Leady B2B'!G25</x:f>
        <x:v>Producent/importer/dystrybutor</x:v>
      </x:c>
      <x:c r="H25" s="47" t="str">
        <x:f>'Leady B2B'!H25</x:f>
        <x:v>Kujawsko-pomorskie</x:v>
      </x:c>
      <x:c r="I25" s="47" t="str">
        <x:f>'Leady B2B'!I25</x:f>
      </x:c>
      <x:c r="J25" s="47" t="str">
        <x:f>'Leady B2B'!J25</x:f>
        <x:v>Duża</x:v>
      </x:c>
      <x:c r="K25" s="47" t="str">
        <x:f>'Leady B2B'!K25</x:f>
        <x:v>biuro@mrctrade.pl; export@mrctrade.pl</x:v>
      </x:c>
      <x:c r="L25" s="47" t="str">
        <x:f>'Leady B2B'!L25</x:f>
        <x:v>+48 797 724 344; +48 784 901 554</x:v>
      </x:c>
      <x:c r="M25" s="47" t="str">
        <x:f>'Leady B2B'!M25</x:f>
        <x:v>Dział sprzedaży / przedstawiciele regionalni</x:v>
      </x:c>
      <x:c r="N25" s="47" t="str">
        <x:f>'Leady B2B'!N25</x:f>
        <x:v>Sprzedaż krajowa i vanselling</x:v>
      </x:c>
      <x:c r="O25" s="47" t="str">
        <x:f>'Leady B2B'!O25</x:f>
        <x:v>https://mrctrade.pl</x:v>
      </x:c>
      <x:c r="P25" s="47" t="str">
        <x:f>'Leady B2B'!P25</x:f>
        <x:v>ul. Włocławska 171A, 87-100 Toruń</x:v>
      </x:c>
      <x:c r="Q25" s="47" t="n">
        <x:f>'Leady B2B'!Q25</x:f>
        <x:v>0</x:v>
      </x:c>
      <x:c r="R25" s="47" t="str">
        <x:f>'Leady B2B'!R25</x:f>
      </x:c>
      <x:c r="S25" s="47" t="str">
        <x:f>'Leady B2B'!S25</x:f>
        <x:v>Akcesoria Tytoniowe | Gilzy &amp; Filtry</x:v>
      </x:c>
      <x:c r="T25" s="47" t="str">
        <x:f>'Leady B2B'!T25</x:f>
        <x:v>Pełny</x:v>
      </x:c>
      <x:c r="U25" s="47" t="str">
        <x:f>'Leady B2B'!U25</x:f>
        <x:v>Nowy</x:v>
      </x:c>
      <x:c r="V25" s="47" t="str">
        <x:f>'Leady B2B'!V25</x:f>
        <x:v>BILLS — hurt@bills.pl</x:v>
      </x:c>
      <x:c r="W25" s="47" t="str">
        <x:f>'Leady B2B'!W25</x:f>
        <x:v>Rozmowa strategiczna z dyrektorem handlowym; bez standardowego cold maila</x:v>
      </x:c>
      <x:c r="X25" s="109" t="n">
        <x:f>'Leady B2B'!X25</x:f>
        <x:v>46223</x:v>
      </x:c>
    </x:row>
    <x:row r="26" ht="38" customHeight="1">
      <x:c r="A26" s="101" t="n">
        <x:f>'Leady B2B'!A26</x:f>
        <x:v>24</x:v>
      </x:c>
      <x:c r="B26" s="102" t="str">
        <x:f>'Leady B2B'!B26</x:f>
        <x:v>A1 — kontakt natychmiast</x:v>
      </x:c>
      <x:c r="C26" s="102" t="n">
        <x:f>'Leady B2B'!C26</x:f>
        <x:v>82</x:v>
      </x:c>
      <x:c r="D26" s="47" t="str">
        <x:f>'Leady B2B'!D26</x:f>
        <x:v>CK Complex B2B</x:v>
      </x:c>
      <x:c r="E26" s="47" t="str">
        <x:f>'Leady B2B'!E26</x:f>
        <x:v>Potencjalny reseller / odbiorca hurtowy</x:v>
      </x:c>
      <x:c r="F26" s="47" t="str">
        <x:f>'Leady B2B'!F26</x:f>
        <x:v>S3 — Akcesoria dla palaczy/headshop</x:v>
      </x:c>
      <x:c r="G26" s="47" t="str">
        <x:f>'Leady B2B'!G26</x:f>
        <x:v>Hurt ogólnopolski</x:v>
      </x:c>
      <x:c r="H26" s="47" t="str">
        <x:f>'Leady B2B'!H26</x:f>
        <x:v>Lubuskie</x:v>
      </x:c>
      <x:c r="I26" s="47" t="str">
        <x:f>'Leady B2B'!I26</x:f>
        <x:v>Ogólnopolska</x:v>
      </x:c>
      <x:c r="J26" s="47" t="str">
        <x:f>'Leady B2B'!J26</x:f>
        <x:v>Średni</x:v>
      </x:c>
      <x:c r="K26" s="47" t="str">
        <x:f>'Leady B2B'!K26</x:f>
        <x:v>monika.wachel@ckcomplex.pl; b2b@ckcomplex.pl</x:v>
      </x:c>
      <x:c r="L26" s="47" t="str">
        <x:f>'Leady B2B'!L26</x:f>
        <x:v>+48 511 881 411; +48 515 377 435</x:v>
      </x:c>
      <x:c r="M26" s="47" t="str">
        <x:f>'Leady B2B'!M26</x:f>
        <x:v>Monika Wachel</x:v>
      </x:c>
      <x:c r="N26" s="47" t="str">
        <x:f>'Leady B2B'!N26</x:f>
        <x:v>Dyrektor ds. sprzedaży hurtowej</x:v>
      </x:c>
      <x:c r="O26" s="47" t="str">
        <x:f>'Leady B2B'!O26</x:f>
        <x:v>https://b2b.ckcomplex.pl/pl/li...</x:v>
      </x:c>
      <x:c r="P26" s="47" t="str">
        <x:f>'Leady B2B'!P26</x:f>
        <x:v>ul. Naftowa 4, 65-705 Zielona Góra</x:v>
      </x:c>
      <x:c r="Q26" s="47" t="str">
        <x:f>'Leady B2B'!Q26</x:f>
        <x:v>9291744080</x:v>
      </x:c>
      <x:c r="R26" s="47" t="str">
        <x:f>'Leady B2B'!R26</x:f>
      </x:c>
      <x:c r="S26" s="47" t="str">
        <x:f>'Leady B2B'!S26</x:f>
        <x:v>Akcesoria Tytoniowe | Hurt | Sklep Tytoniowy</x:v>
      </x:c>
      <x:c r="T26" s="47" t="str">
        <x:f>'Leady B2B'!T26</x:f>
        <x:v>Pełny</x:v>
      </x:c>
      <x:c r="U26" s="47" t="str">
        <x:f>'Leady B2B'!U26</x:f>
        <x:v>Nowy</x:v>
      </x:c>
      <x:c r="V26" s="47" t="str">
        <x:f>'Leady B2B'!V26</x:f>
        <x:v>BILLS — hurt@bills.pl</x:v>
      </x:c>
      <x:c r="W26" s="47" t="str">
        <x:f>'Leady B2B'!W26</x:f>
        <x:v>Telefon do działu zakupów + personalizowany e-mail tego samego dnia</x:v>
      </x:c>
      <x:c r="X26" s="109" t="n">
        <x:f>'Leady B2B'!X26</x:f>
        <x:v>46223</x:v>
      </x:c>
    </x:row>
    <x:row r="27" ht="38" customHeight="1">
      <x:c r="A27" s="101" t="n">
        <x:f>'Leady B2B'!A27</x:f>
        <x:v>25</x:v>
      </x:c>
      <x:c r="B27" s="102" t="str">
        <x:f>'Leady B2B'!B27</x:f>
        <x:v>A2 — kontakt w 7 dni</x:v>
      </x:c>
      <x:c r="C27" s="102" t="n">
        <x:f>'Leady B2B'!C27</x:f>
        <x:v>81</x:v>
      </x:c>
      <x:c r="D27" s="47" t="str">
        <x:f>'Leady B2B'!D27</x:f>
        <x:v>Fusion Labs Sp. z o.o.</x:v>
      </x:c>
      <x:c r="E27" s="47" t="str">
        <x:f>'Leady B2B'!E27</x:f>
        <x:v>Partner strategiczny / producent</x:v>
      </x:c>
      <x:c r="F27" s="47" t="str">
        <x:f>'Leady B2B'!F27</x:f>
        <x:v>S4 — Vape/e-papierosy</x:v>
      </x:c>
      <x:c r="G27" s="47" t="str">
        <x:f>'Leady B2B'!G27</x:f>
        <x:v>Producent/importer/dystrybutor</x:v>
      </x:c>
      <x:c r="H27" s="47" t="str">
        <x:f>'Leady B2B'!H27</x:f>
        <x:v>Świętokrzyskie</x:v>
      </x:c>
      <x:c r="I27" s="47" t="str">
        <x:f>'Leady B2B'!I27</x:f>
        <x:v>Masłów Pierwszy</x:v>
      </x:c>
      <x:c r="J27" s="47" t="str">
        <x:f>'Leady B2B'!J27</x:f>
        <x:v>Duży</x:v>
      </x:c>
      <x:c r="K27" s="47" t="str">
        <x:f>'Leady B2B'!K27</x:f>
        <x:v>biuro@fusion.pl</x:v>
      </x:c>
      <x:c r="L27" s="47" t="str">
        <x:f>'Leady B2B'!L27</x:f>
        <x:v>+48 530 312 326</x:v>
      </x:c>
      <x:c r="M27" s="47" t="n">
        <x:f>'Leady B2B'!M27</x:f>
        <x:v>0</x:v>
      </x:c>
      <x:c r="N27" s="47" t="str">
        <x:f>'Leady B2B'!N27</x:f>
      </x:c>
      <x:c r="O27" s="47" t="str">
        <x:f>'Leady B2B'!O27</x:f>
        <x:v>https://fusion.pl</x:v>
      </x:c>
      <x:c r="P27" s="47" t="str">
        <x:f>'Leady B2B'!P27</x:f>
        <x:v>ul. Świętokrzyska 10A, 26-001 Masłów Pierwszy</x:v>
      </x:c>
      <x:c r="Q27" s="47" t="str">
        <x:f>'Leady B2B'!Q27</x:f>
        <x:v>6572968622</x:v>
      </x:c>
      <x:c r="R27" s="47" t="str">
        <x:f>'Leady B2B'!R27</x:f>
        <x:v>0000963058</x:v>
      </x:c>
      <x:c r="S27" s="47" t="str">
        <x:f>'Leady B2B'!S27</x:f>
        <x:v>Liquidy | Premixy | Bazy | Shoty | Urządzenia vape | Vape | Liquidy | FMCG</x:v>
      </x:c>
      <x:c r="T27" s="47" t="str">
        <x:f>'Leady B2B'!T27</x:f>
        <x:v>Pełny</x:v>
      </x:c>
      <x:c r="U27" s="47" t="str">
        <x:f>'Leady B2B'!U27</x:f>
        <x:v>Nowy</x:v>
      </x:c>
      <x:c r="V27" s="47" t="str">
        <x:f>'Leady B2B'!V27</x:f>
        <x:v>BILLS — hurt@bills.pl</x:v>
      </x:c>
      <x:c r="W27" s="47" t="str">
        <x:f>'Leady B2B'!W27</x:f>
        <x:v>E-mail handlowy + telefon follow-up w ciągu 48 godzin</x:v>
      </x:c>
      <x:c r="X27" s="109" t="n">
        <x:f>'Leady B2B'!X27</x:f>
        <x:v>46227</x:v>
      </x:c>
    </x:row>
    <x:row r="28" ht="38" customHeight="1">
      <x:c r="A28" s="101" t="n">
        <x:f>'Leady B2B'!A28</x:f>
        <x:v>26</x:v>
      </x:c>
      <x:c r="B28" s="102" t="str">
        <x:f>'Leady B2B'!B28</x:f>
        <x:v>A2 — kontakt w 7 dni</x:v>
      </x:c>
      <x:c r="C28" s="102" t="n">
        <x:f>'Leady B2B'!C28</x:f>
        <x:v>81</x:v>
      </x:c>
      <x:c r="D28" s="47" t="str">
        <x:f>'Leady B2B'!D28</x:f>
        <x:v>Fortrade</x:v>
      </x:c>
      <x:c r="E28" s="47" t="str">
        <x:f>'Leady B2B'!E28</x:f>
        <x:v>Potencjalny reseller / odbiorca hurtowy</x:v>
      </x:c>
      <x:c r="F28" s="47" t="str">
        <x:f>'Leady B2B'!F28</x:f>
        <x:v>S1 — RYO/MYO, gilzy i nabijarki</x:v>
      </x:c>
      <x:c r="G28" s="47" t="str">
        <x:f>'Leady B2B'!G28</x:f>
        <x:v>Hurt ogólnopolski</x:v>
      </x:c>
      <x:c r="H28" s="47" t="str">
        <x:f>'Leady B2B'!H28</x:f>
        <x:v>Ogólnopolska</x:v>
      </x:c>
      <x:c r="I28" s="47" t="str">
        <x:f>'Leady B2B'!I28</x:f>
      </x:c>
      <x:c r="J28" s="47" t="str">
        <x:f>'Leady B2B'!J28</x:f>
        <x:v>Mały</x:v>
      </x:c>
      <x:c r="K28" s="47" t="n">
        <x:f>'Leady B2B'!K28</x:f>
        <x:v>0</x:v>
      </x:c>
      <x:c r="L28" s="47" t="n">
        <x:f>'Leady B2B'!L28</x:f>
        <x:v>0</x:v>
      </x:c>
      <x:c r="M28" s="47" t="n">
        <x:f>'Leady B2B'!M28</x:f>
        <x:v>0</x:v>
      </x:c>
      <x:c r="N28" s="47" t="str">
        <x:f>'Leady B2B'!N28</x:f>
      </x:c>
      <x:c r="O28" s="47" t="str">
        <x:f>'Leady B2B'!O28</x:f>
        <x:v>https://fortrade.pl</x:v>
      </x:c>
      <x:c r="P28" s="47" t="str">
        <x:f>'Leady B2B'!P28</x:f>
        <x:v>Poland</x:v>
      </x:c>
      <x:c r="Q28" s="47" t="n">
        <x:f>'Leady B2B'!Q28</x:f>
        <x:v>0</x:v>
      </x:c>
      <x:c r="R28" s="47" t="str">
        <x:f>'Leady B2B'!R28</x:f>
      </x:c>
      <x:c r="S28" s="47" t="str">
        <x:f>'Leady B2B'!S28</x:f>
        <x:v>Nabijarki &amp; Zwijarki | Other injector devices | Półautomatyczna tłokowa maszynka do gilz | Rdzeń systemu nabijarek</x:v>
      </x:c>
      <x:c r="T28" s="47" t="str">
        <x:f>'Leady B2B'!T28</x:f>
        <x:v>Brak bezpośredniego kontaktu</x:v>
      </x:c>
      <x:c r="U28" s="47" t="str">
        <x:f>'Leady B2B'!U28</x:f>
        <x:v>Nowy</x:v>
      </x:c>
      <x:c r="V28" s="47" t="str">
        <x:f>'Leady B2B'!V28</x:f>
        <x:v>BILLS — hurt@bills.pl</x:v>
      </x:c>
      <x:c r="W28" s="47" t="str">
        <x:f>'Leady B2B'!W28</x:f>
        <x:v>E-mail handlowy + telefon follow-up w ciągu 48 godzin</x:v>
      </x:c>
      <x:c r="X28" s="109" t="n">
        <x:f>'Leady B2B'!X28</x:f>
        <x:v>46227</x:v>
      </x:c>
    </x:row>
    <x:row r="29" ht="38" customHeight="1">
      <x:c r="A29" s="101" t="n">
        <x:f>'Leady B2B'!A29</x:f>
        <x:v>27</x:v>
      </x:c>
      <x:c r="B29" s="102" t="str">
        <x:f>'Leady B2B'!B29</x:f>
        <x:v>A2 — kontakt w 7 dni</x:v>
      </x:c>
      <x:c r="C29" s="102" t="n">
        <x:f>'Leady B2B'!C29</x:f>
        <x:v>81</x:v>
      </x:c>
      <x:c r="D29" s="47" t="str">
        <x:f>'Leady B2B'!D29</x:f>
        <x:v>Tobacco Concept Factory (TCF)</x:v>
      </x:c>
      <x:c r="E29" s="47" t="str">
        <x:f>'Leady B2B'!E29</x:f>
        <x:v>Potencjalny reseller / odbiorca hurtowy</x:v>
      </x:c>
      <x:c r="F29" s="47" t="str">
        <x:f>'Leady B2B'!F29</x:f>
        <x:v>S1 — RYO/MYO, gilzy i nabijarki</x:v>
      </x:c>
      <x:c r="G29" s="47" t="str">
        <x:f>'Leady B2B'!G29</x:f>
        <x:v>Hurt ogólnopolski</x:v>
      </x:c>
      <x:c r="H29" s="47" t="str">
        <x:f>'Leady B2B'!H29</x:f>
        <x:v>Ogólnopolska</x:v>
      </x:c>
      <x:c r="I29" s="47" t="str">
        <x:f>'Leady B2B'!I29</x:f>
      </x:c>
      <x:c r="J29" s="47" t="str">
        <x:f>'Leady B2B'!J29</x:f>
        <x:v>Duża</x:v>
      </x:c>
      <x:c r="K29" s="47" t="n">
        <x:f>'Leady B2B'!K29</x:f>
        <x:v>0</x:v>
      </x:c>
      <x:c r="L29" s="47" t="n">
        <x:f>'Leady B2B'!L29</x:f>
        <x:v>0</x:v>
      </x:c>
      <x:c r="M29" s="47" t="n">
        <x:f>'Leady B2B'!M29</x:f>
        <x:v>0</x:v>
      </x:c>
      <x:c r="N29" s="47" t="str">
        <x:f>'Leady B2B'!N29</x:f>
      </x:c>
      <x:c r="O29" s="47" t="str">
        <x:f>'Leady B2B'!O29</x:f>
        <x:v>https://tcf.com.pl</x:v>
      </x:c>
      <x:c r="P29" s="47" t="n">
        <x:f>'Leady B2B'!P29</x:f>
        <x:v>0</x:v>
      </x:c>
      <x:c r="Q29" s="47" t="n">
        <x:f>'Leady B2B'!Q29</x:f>
        <x:v>0</x:v>
      </x:c>
      <x:c r="R29" s="47" t="str">
        <x:f>'Leady B2B'!R29</x:f>
      </x:c>
      <x:c r="S29" s="47" t="str">
        <x:f>'Leady B2B'!S29</x:f>
        <x:v>Akcesoria Tytoniowe | Bibułki &amp; Bletki | Gilzy &amp; Filtry</x:v>
      </x:c>
      <x:c r="T29" s="47" t="str">
        <x:f>'Leady B2B'!T29</x:f>
        <x:v>Brak bezpośredniego kontaktu</x:v>
      </x:c>
      <x:c r="U29" s="47" t="str">
        <x:f>'Leady B2B'!U29</x:f>
        <x:v>Nowy</x:v>
      </x:c>
      <x:c r="V29" s="47" t="str">
        <x:f>'Leady B2B'!V29</x:f>
        <x:v>BILLS — hurt@bills.pl</x:v>
      </x:c>
      <x:c r="W29" s="47" t="str">
        <x:f>'Leady B2B'!W29</x:f>
        <x:v>E-mail handlowy + telefon follow-up w ciągu 48 godzin</x:v>
      </x:c>
      <x:c r="X29" s="109" t="n">
        <x:f>'Leady B2B'!X29</x:f>
        <x:v>46227</x:v>
      </x:c>
    </x:row>
    <x:row r="30" ht="38" customHeight="1">
      <x:c r="A30" s="101" t="n">
        <x:f>'Leady B2B'!A30</x:f>
        <x:v>28</x:v>
      </x:c>
      <x:c r="B30" s="102" t="str">
        <x:f>'Leady B2B'!B30</x:f>
        <x:v>A2 — kontakt w 7 dni</x:v>
      </x:c>
      <x:c r="C30" s="102" t="n">
        <x:f>'Leady B2B'!C30</x:f>
        <x:v>81</x:v>
      </x:c>
      <x:c r="D30" s="47" t="str">
        <x:f>'Leady B2B'!D30</x:f>
        <x:v>PRODAP</x:v>
      </x:c>
      <x:c r="E30" s="47" t="str">
        <x:f>'Leady B2B'!E30</x:f>
        <x:v>Potencjalny reseller / odbiorca hurtowy</x:v>
      </x:c>
      <x:c r="F30" s="47" t="str">
        <x:f>'Leady B2B'!F30</x:f>
        <x:v>S1 — RYO/MYO, gilzy i nabijarki</x:v>
      </x:c>
      <x:c r="G30" s="47" t="str">
        <x:f>'Leady B2B'!G30</x:f>
        <x:v>Hurt ogólnopolski</x:v>
      </x:c>
      <x:c r="H30" s="47" t="str">
        <x:f>'Leady B2B'!H30</x:f>
        <x:v>Ogólnopolska</x:v>
      </x:c>
      <x:c r="I30" s="47" t="str">
        <x:f>'Leady B2B'!I30</x:f>
      </x:c>
      <x:c r="J30" s="47" t="str">
        <x:f>'Leady B2B'!J30</x:f>
        <x:v>Średnia</x:v>
      </x:c>
      <x:c r="K30" s="47" t="str">
        <x:f>'Leady B2B'!K30</x:f>
      </x:c>
      <x:c r="L30" s="47" t="n">
        <x:f>'Leady B2B'!L30</x:f>
        <x:v>0</x:v>
      </x:c>
      <x:c r="M30" s="47" t="n">
        <x:f>'Leady B2B'!M30</x:f>
        <x:v>0</x:v>
      </x:c>
      <x:c r="N30" s="47" t="str">
        <x:f>'Leady B2B'!N30</x:f>
      </x:c>
      <x:c r="O30" s="47" t="str">
        <x:f>'Leady B2B'!O30</x:f>
        <x:v>https://prodap.pl</x:v>
      </x:c>
      <x:c r="P30" s="47" t="str">
        <x:f>'Leady B2B'!P30</x:f>
      </x:c>
      <x:c r="Q30" s="47" t="str">
        <x:f>'Leady B2B'!Q30</x:f>
      </x:c>
      <x:c r="R30" s="47" t="str">
        <x:f>'Leady B2B'!R30</x:f>
      </x:c>
      <x:c r="S30" s="47" t="str">
        <x:f>'Leady B2B'!S30</x:f>
        <x:v>Akcesoria Tytoniowe | Nabijarki &amp; Zwijarki | Powermatic</x:v>
      </x:c>
      <x:c r="T30" s="47" t="str">
        <x:f>'Leady B2B'!T30</x:f>
        <x:v>Brak bezpośredniego kontaktu</x:v>
      </x:c>
      <x:c r="U30" s="47" t="str">
        <x:f>'Leady B2B'!U30</x:f>
        <x:v>Nowy</x:v>
      </x:c>
      <x:c r="V30" s="47" t="str">
        <x:f>'Leady B2B'!V30</x:f>
        <x:v>BILLS — hurt@bills.pl</x:v>
      </x:c>
      <x:c r="W30" s="47" t="str">
        <x:f>'Leady B2B'!W30</x:f>
        <x:v>E-mail handlowy + telefon follow-up w ciągu 48 godzin</x:v>
      </x:c>
      <x:c r="X30" s="109" t="n">
        <x:f>'Leady B2B'!X30</x:f>
        <x:v>46227</x:v>
      </x:c>
    </x:row>
    <x:row r="31" ht="38" customHeight="1">
      <x:c r="A31" s="101" t="n">
        <x:f>'Leady B2B'!A31</x:f>
        <x:v>29</x:v>
      </x:c>
      <x:c r="B31" s="102" t="str">
        <x:f>'Leady B2B'!B31</x:f>
        <x:v>A2 — kontakt w 7 dni</x:v>
      </x:c>
      <x:c r="C31" s="102" t="n">
        <x:f>'Leady B2B'!C31</x:f>
        <x:v>80</x:v>
      </x:c>
      <x:c r="D31" s="47" t="str">
        <x:f>'Leady B2B'!D31</x:f>
        <x:v>M&amp;P PAVLINA Sp. z o.o. Sp.k. / M&amp;P Alkohole Wina Cygara</x:v>
      </x:c>
      <x:c r="E31" s="47" t="str">
        <x:f>'Leady B2B'!E31</x:f>
        <x:v>Partner dystrybucyjny/importer</x:v>
      </x:c>
      <x:c r="F31" s="47" t="str">
        <x:f>'Leady B2B'!F31</x:f>
        <x:v>S5 — Cygara i trafiki premium</x:v>
      </x:c>
      <x:c r="G31" s="47" t="str">
        <x:f>'Leady B2B'!G31</x:f>
        <x:v>Importer/dystrybutor krajowy</x:v>
      </x:c>
      <x:c r="H31" s="47" t="str">
        <x:f>'Leady B2B'!H31</x:f>
        <x:v>Mazowieckie</x:v>
      </x:c>
      <x:c r="I31" s="47" t="str">
        <x:f>'Leady B2B'!I31</x:f>
        <x:v>Marki / Karpin</x:v>
      </x:c>
      <x:c r="J31" s="47" t="str">
        <x:f>'Leady B2B'!J31</x:f>
        <x:v>Duży</x:v>
      </x:c>
      <x:c r="K31" s="47" t="str">
        <x:f>'Leady B2B'!K31</x:f>
        <x:v>biuro@wina-mp.pl</x:v>
      </x:c>
      <x:c r="L31" s="47" t="str">
        <x:f>'Leady B2B'!L31</x:f>
        <x:v>+48 22 350 79 30</x:v>
      </x:c>
      <x:c r="M31" s="47" t="n">
        <x:f>'Leady B2B'!M31</x:f>
        <x:v>0</x:v>
      </x:c>
      <x:c r="N31" s="47" t="str">
        <x:f>'Leady B2B'!N31</x:f>
      </x:c>
      <x:c r="O31" s="47" t="str">
        <x:f>'Leady B2B'!O31</x:f>
        <x:v>https://www.wina-mp.pl</x:v>
      </x:c>
      <x:c r="P31" s="47" t="str">
        <x:f>'Leady B2B'!P31</x:f>
        <x:v>ul. Leonida Teligi 1A, 05-270 Marki; centrum logistyczne: ul. Warszawska 5, 05-252 Karpin</x:v>
      </x:c>
      <x:c r="Q31" s="47" t="str">
        <x:f>'Leady B2B'!Q31</x:f>
        <x:v>1251632608</x:v>
      </x:c>
      <x:c r="R31" s="47" t="str">
        <x:f>'Leady B2B'!R31</x:f>
        <x:v>0000578685</x:v>
      </x:c>
      <x:c r="S31" s="47" t="str">
        <x:f>'Leady B2B'!S31</x:f>
        <x:v>Cygara | Humidory | Zapalniczki | Akcesoria premium | Cygara premium | Akcesoria cygarowe | Alkohole premium</x:v>
      </x:c>
      <x:c r="T31" s="47" t="str">
        <x:f>'Leady B2B'!T31</x:f>
        <x:v>Pełny</x:v>
      </x:c>
      <x:c r="U31" s="47" t="str">
        <x:f>'Leady B2B'!U31</x:f>
        <x:v>Nowy</x:v>
      </x:c>
      <x:c r="V31" s="47" t="str">
        <x:f>'Leady B2B'!V31</x:f>
        <x:v>BILLS — hurt@bills.pl</x:v>
      </x:c>
      <x:c r="W31" s="47" t="str">
        <x:f>'Leady B2B'!W31</x:f>
        <x:v>E-mail handlowy + telefon follow-up w ciągu 48 godzin</x:v>
      </x:c>
      <x:c r="X31" s="109" t="n">
        <x:f>'Leady B2B'!X31</x:f>
        <x:v>46227</x:v>
      </x:c>
    </x:row>
    <x:row r="32" ht="38" customHeight="1">
      <x:c r="A32" s="101" t="n">
        <x:f>'Leady B2B'!A32</x:f>
        <x:v>30</x:v>
      </x:c>
      <x:c r="B32" s="102" t="str">
        <x:f>'Leady B2B'!B32</x:f>
        <x:v>A2 — kontakt w 7 dni</x:v>
      </x:c>
      <x:c r="C32" s="102" t="n">
        <x:f>'Leady B2B'!C32</x:f>
        <x:v>80</x:v>
      </x:c>
      <x:c r="D32" s="47" t="str">
        <x:f>'Leady B2B'!D32</x:f>
        <x:v>Handel Hurtowy i Detaliczny, Beata Czyż w Radom</x:v>
      </x:c>
      <x:c r="E32" s="47" t="str">
        <x:f>'Leady B2B'!E32</x:f>
        <x:v>Potencjalny reseller / odbiorca hurtowy</x:v>
      </x:c>
      <x:c r="F32" s="47" t="str">
        <x:f>'Leady B2B'!F32</x:f>
        <x:v>S1 — RYO/MYO, gilzy i nabijarki</x:v>
      </x:c>
      <x:c r="G32" s="47" t="str">
        <x:f>'Leady B2B'!G32</x:f>
        <x:v>Hurt B2B regionalny</x:v>
      </x:c>
      <x:c r="H32" s="47" t="str">
        <x:f>'Leady B2B'!H32</x:f>
        <x:v>Mazowieckie</x:v>
      </x:c>
      <x:c r="I32" s="47" t="str">
        <x:f>'Leady B2B'!I32</x:f>
        <x:v>Radom</x:v>
      </x:c>
      <x:c r="J32" s="47" t="str">
        <x:f>'Leady B2B'!J32</x:f>
        <x:v>Średnia</x:v>
      </x:c>
      <x:c r="K32" s="47" t="n">
        <x:f>'Leady B2B'!K32</x:f>
        <x:v>0</x:v>
      </x:c>
      <x:c r="L32" s="47" t="str">
        <x:f>'Leady B2B'!L32</x:f>
        <x:v>+48 504 08-33-60</x:v>
      </x:c>
      <x:c r="M32" s="47" t="n">
        <x:f>'Leady B2B'!M32</x:f>
        <x:v>0</x:v>
      </x:c>
      <x:c r="N32" s="47" t="str">
        <x:f>'Leady B2B'!N32</x:f>
      </x:c>
      <x:c r="O32" s="47" t="str">
        <x:f>'Leady B2B'!O32</x:f>
        <x:v>38250-pl.all.biz</x:v>
      </x:c>
      <x:c r="P32" s="47" t="n">
        <x:f>'Leady B2B'!P32</x:f>
        <x:v>0</x:v>
      </x:c>
      <x:c r="Q32" s="47" t="n">
        <x:f>'Leady B2B'!Q32</x:f>
        <x:v>0</x:v>
      </x:c>
      <x:c r="R32" s="47" t="str">
        <x:f>'Leady B2B'!R32</x:f>
      </x:c>
      <x:c r="S32" s="47" t="str">
        <x:f>'Leady B2B'!S32</x:f>
        <x:v>Gilzy Papierosowe | Nabijarki Do Gilz | Akcesoria Dla Palaczy | Mr Tobacco | DREK | Dark Horse | OCB | Powermatic | Hurtownia</x:v>
      </x:c>
      <x:c r="T32" s="47" t="str">
        <x:f>'Leady B2B'!T32</x:f>
        <x:v>Częściowy</x:v>
      </x:c>
      <x:c r="U32" s="47" t="str">
        <x:f>'Leady B2B'!U32</x:f>
        <x:v>Nowy</x:v>
      </x:c>
      <x:c r="V32" s="47" t="str">
        <x:f>'Leady B2B'!V32</x:f>
        <x:v>BILLS — hurt@bills.pl</x:v>
      </x:c>
      <x:c r="W32" s="47" t="str">
        <x:f>'Leady B2B'!W32</x:f>
        <x:v>E-mail handlowy + telefon follow-up w ciągu 48 godzin</x:v>
      </x:c>
      <x:c r="X32" s="109" t="n">
        <x:f>'Leady B2B'!X32</x:f>
        <x:v>46227</x:v>
      </x:c>
    </x:row>
    <x:row r="33" ht="38" customHeight="1">
      <x:c r="A33" s="101" t="n">
        <x:f>'Leady B2B'!A33</x:f>
        <x:v>31</x:v>
      </x:c>
      <x:c r="B33" s="102" t="str">
        <x:f>'Leady B2B'!B33</x:f>
        <x:v>A2 — kontakt w 7 dni</x:v>
      </x:c>
      <x:c r="C33" s="102" t="n">
        <x:f>'Leady B2B'!C33</x:f>
        <x:v>80</x:v>
      </x:c>
      <x:c r="D33" s="47" t="str">
        <x:f>'Leady B2B'!D33</x:f>
        <x:v>TwojePapierosy.pl</x:v>
      </x:c>
      <x:c r="E33" s="47" t="str">
        <x:f>'Leady B2B'!E33</x:f>
        <x:v>Potencjalny reseller / odbiorca hurtowy</x:v>
      </x:c>
      <x:c r="F33" s="47" t="str">
        <x:f>'Leady B2B'!F33</x:f>
        <x:v>S1 — RYO/MYO, gilzy i nabijarki</x:v>
      </x:c>
      <x:c r="G33" s="47" t="str">
        <x:f>'Leady B2B'!G33</x:f>
        <x:v>Hurt B2B + detal</x:v>
      </x:c>
      <x:c r="H33" s="47" t="str">
        <x:f>'Leady B2B'!H33</x:f>
        <x:v>Ogólnopolska</x:v>
      </x:c>
      <x:c r="I33" s="47" t="str">
        <x:f>'Leady B2B'!I33</x:f>
        <x:v>Ogólnopolska</x:v>
      </x:c>
      <x:c r="J33" s="47" t="str">
        <x:f>'Leady B2B'!J33</x:f>
        <x:v>Średni</x:v>
      </x:c>
      <x:c r="K33" s="47" t="n">
        <x:f>'Leady B2B'!K33</x:f>
        <x:v>0</x:v>
      </x:c>
      <x:c r="L33" s="47" t="n">
        <x:f>'Leady B2B'!L33</x:f>
        <x:v>0</x:v>
      </x:c>
      <x:c r="M33" s="47" t="n">
        <x:f>'Leady B2B'!M33</x:f>
        <x:v>0</x:v>
      </x:c>
      <x:c r="N33" s="47" t="str">
        <x:f>'Leady B2B'!N33</x:f>
      </x:c>
      <x:c r="O33" s="47" t="str">
        <x:f>'Leady B2B'!O33</x:f>
        <x:v>https://twojepapierosy.pl</x:v>
      </x:c>
      <x:c r="P33" s="47" t="str">
        <x:f>'Leady B2B'!P33</x:f>
        <x:v>Online (Poland-wide)</x:v>
      </x:c>
      <x:c r="Q33" s="47" t="n">
        <x:f>'Leady B2B'!Q33</x:f>
        <x:v>0</x:v>
      </x:c>
      <x:c r="R33" s="47" t="str">
        <x:f>'Leady B2B'!R33</x:f>
      </x:c>
      <x:c r="S33" s="47" t="str">
        <x:f>'Leady B2B'!S33</x:f>
        <x:v>Akcesoria Tytoniowe | Nabijarki &amp; Zwijarki | Papierosy | Tytoń | Hurt | Sklep Tytoniowy</x:v>
      </x:c>
      <x:c r="T33" s="47" t="str">
        <x:f>'Leady B2B'!T33</x:f>
        <x:v>Brak bezpośredniego kontaktu</x:v>
      </x:c>
      <x:c r="U33" s="47" t="str">
        <x:f>'Leady B2B'!U33</x:f>
        <x:v>Nowy</x:v>
      </x:c>
      <x:c r="V33" s="47" t="str">
        <x:f>'Leady B2B'!V33</x:f>
        <x:v>BILLS — hurt@bills.pl</x:v>
      </x:c>
      <x:c r="W33" s="47" t="str">
        <x:f>'Leady B2B'!W33</x:f>
        <x:v>E-mail handlowy + telefon follow-up w ciągu 48 godzin</x:v>
      </x:c>
      <x:c r="X33" s="109" t="n">
        <x:f>'Leady B2B'!X33</x:f>
        <x:v>46227</x:v>
      </x:c>
    </x:row>
    <x:row r="34" ht="38" customHeight="1">
      <x:c r="A34" s="101" t="n">
        <x:f>'Leady B2B'!A34</x:f>
        <x:v>32</x:v>
      </x:c>
      <x:c r="B34" s="102" t="str">
        <x:f>'Leady B2B'!B34</x:f>
        <x:v>A2 — kontakt w 7 dni</x:v>
      </x:c>
      <x:c r="C34" s="102" t="n">
        <x:f>'Leady B2B'!C34</x:f>
        <x:v>80</x:v>
      </x:c>
      <x:c r="D34" s="47" t="str">
        <x:f>'Leady B2B'!D34</x:f>
        <x:v>Hurtownia Kaziool</x:v>
      </x:c>
      <x:c r="E34" s="47" t="str">
        <x:f>'Leady B2B'!E34</x:f>
        <x:v>Potencjalny reseller / odbiorca hurtowy</x:v>
      </x:c>
      <x:c r="F34" s="47" t="str">
        <x:f>'Leady B2B'!F34</x:f>
        <x:v>S1 — RYO/MYO, gilzy i nabijarki</x:v>
      </x:c>
      <x:c r="G34" s="47" t="str">
        <x:f>'Leady B2B'!G34</x:f>
        <x:v>Hurt ogólnopolski</x:v>
      </x:c>
      <x:c r="H34" s="47" t="str">
        <x:f>'Leady B2B'!H34</x:f>
        <x:v>Ogólnopolska</x:v>
      </x:c>
      <x:c r="I34" s="47" t="str">
        <x:f>'Leady B2B'!I34</x:f>
      </x:c>
      <x:c r="J34" s="47" t="str">
        <x:f>'Leady B2B'!J34</x:f>
        <x:v>Mały</x:v>
      </x:c>
      <x:c r="K34" s="47" t="str">
        <x:f>'Leady B2B'!K34</x:f>
      </x:c>
      <x:c r="L34" s="47" t="n">
        <x:f>'Leady B2B'!L34</x:f>
        <x:v>0</x:v>
      </x:c>
      <x:c r="M34" s="47" t="n">
        <x:f>'Leady B2B'!M34</x:f>
        <x:v>0</x:v>
      </x:c>
      <x:c r="N34" s="47" t="str">
        <x:f>'Leady B2B'!N34</x:f>
      </x:c>
      <x:c r="O34" s="47" t="str">
        <x:f>'Leady B2B'!O34</x:f>
        <x:v>https://kaziool.pl</x:v>
      </x:c>
      <x:c r="P34" s="47" t="str">
        <x:f>'Leady B2B'!P34</x:f>
        <x:v>Poland</x:v>
      </x:c>
      <x:c r="Q34" s="47" t="str">
        <x:f>'Leady B2B'!Q34</x:f>
      </x:c>
      <x:c r="R34" s="47" t="str">
        <x:f>'Leady B2B'!R34</x:f>
      </x:c>
      <x:c r="S34" s="47" t="str">
        <x:f>'Leady B2B'!S34</x:f>
        <x:v>Akcesoria Tytoniowe | Nabijarki &amp; Zwijarki | Papierosy | Manual cigarette tube injectors | Maszynki do gilz | Slim and standard tube machines | Rdzeń systemu nabijarek</x:v>
      </x:c>
      <x:c r="T34" s="47" t="str">
        <x:f>'Leady B2B'!T34</x:f>
        <x:v>Brak bezpośredniego kontaktu</x:v>
      </x:c>
      <x:c r="U34" s="47" t="str">
        <x:f>'Leady B2B'!U34</x:f>
        <x:v>Nowy</x:v>
      </x:c>
      <x:c r="V34" s="47" t="str">
        <x:f>'Leady B2B'!V34</x:f>
        <x:v>BILLS — hurt@bills.pl</x:v>
      </x:c>
      <x:c r="W34" s="47" t="str">
        <x:f>'Leady B2B'!W34</x:f>
        <x:v>E-mail handlowy + telefon follow-up w ciągu 48 godzin</x:v>
      </x:c>
      <x:c r="X34" s="109" t="n">
        <x:f>'Leady B2B'!X34</x:f>
        <x:v>46227</x:v>
      </x:c>
    </x:row>
    <x:row r="35" ht="38" customHeight="1">
      <x:c r="A35" s="101" t="n">
        <x:f>'Leady B2B'!A35</x:f>
        <x:v>33</x:v>
      </x:c>
      <x:c r="B35" s="102" t="str">
        <x:f>'Leady B2B'!B35</x:f>
        <x:v>A2 — kontakt w 7 dni</x:v>
      </x:c>
      <x:c r="C35" s="102" t="n">
        <x:f>'Leady B2B'!C35</x:f>
        <x:v>79</x:v>
      </x:c>
      <x:c r="D35" s="47" t="str">
        <x:f>'Leady B2B'!D35</x:f>
        <x:v>Polski Tytoń PHP S.A.</x:v>
      </x:c>
      <x:c r="E35" s="47" t="str">
        <x:f>'Leady B2B'!E35</x:f>
        <x:v>Partner cross-sell / kanał sąsiedni</x:v>
      </x:c>
      <x:c r="F35" s="47" t="str">
        <x:f>'Leady B2B'!F35</x:f>
        <x:v>S4 — Vape/e-papierosy</x:v>
      </x:c>
      <x:c r="G35" s="47" t="str">
        <x:f>'Leady B2B'!G35</x:f>
        <x:v>Hurt ogólnopolski</x:v>
      </x:c>
      <x:c r="H35" s="47" t="str">
        <x:f>'Leady B2B'!H35</x:f>
        <x:v>Ogólnopolska</x:v>
      </x:c>
      <x:c r="I35" s="47" t="str">
        <x:f>'Leady B2B'!I35</x:f>
        <x:v>Nationwide (Białystok, Bydgoszcz, Łódź, Warszawa, Lublin, +12 More)</x:v>
      </x:c>
      <x:c r="J35" s="47" t="str">
        <x:f>'Leady B2B'!J35</x:f>
        <x:v>Duży</x:v>
      </x:c>
      <x:c r="K35" s="47" t="str">
        <x:f>'Leady B2B'!K35</x:f>
        <x:v>sekretariat@polskityton.pl</x:v>
      </x:c>
      <x:c r="L35" s="47" t="str">
        <x:f>'Leady B2B'!L35</x:f>
        <x:v>+48 48 341 32 00</x:v>
      </x:c>
      <x:c r="M35" s="47" t="n">
        <x:f>'Leady B2B'!M35</x:f>
        <x:v>0</x:v>
      </x:c>
      <x:c r="N35" s="47" t="str">
        <x:f>'Leady B2B'!N35</x:f>
      </x:c>
      <x:c r="O35" s="47" t="str">
        <x:f>'Leady B2B'!O35</x:f>
        <x:v>https://polskityton.pl</x:v>
      </x:c>
      <x:c r="P35" s="47" t="str">
        <x:f>'Leady B2B'!P35</x:f>
        <x:v>Tartaczna 29, 26-612 Radom, Polska</x:v>
      </x:c>
      <x:c r="Q35" s="47" t="str">
        <x:f>'Leady B2B'!Q35</x:f>
        <x:v>9482622620</x:v>
      </x:c>
      <x:c r="R35" s="47" t="str">
        <x:f>'Leady B2B'!R35</x:f>
        <x:v>0000386390499</x:v>
      </x:c>
      <x:c r="S35" s="47" t="str">
        <x:f>'Leady B2B'!S35</x:f>
        <x:v>Akcesoria Tytoniowe | Papierosy | Tytoń | Vape &amp; E-papierosy | Hurt | Sklep Tytoniowy</x:v>
      </x:c>
      <x:c r="T35" s="47" t="str">
        <x:f>'Leady B2B'!T35</x:f>
        <x:v>Pełny</x:v>
      </x:c>
      <x:c r="U35" s="47" t="str">
        <x:f>'Leady B2B'!U35</x:f>
        <x:v>Nowy</x:v>
      </x:c>
      <x:c r="V35" s="47" t="str">
        <x:f>'Leady B2B'!V35</x:f>
        <x:v>BILLS — hurt@bills.pl</x:v>
      </x:c>
      <x:c r="W35" s="47" t="str">
        <x:f>'Leady B2B'!W35</x:f>
        <x:v>E-mail handlowy + telefon follow-up w ciągu 48 godzin</x:v>
      </x:c>
      <x:c r="X35" s="109" t="n">
        <x:f>'Leady B2B'!X35</x:f>
        <x:v>46227</x:v>
      </x:c>
    </x:row>
    <x:row r="36" ht="38" customHeight="1">
      <x:c r="A36" s="101" t="n">
        <x:f>'Leady B2B'!A36</x:f>
        <x:v>34</x:v>
      </x:c>
      <x:c r="B36" s="102" t="str">
        <x:f>'Leady B2B'!B36</x:f>
        <x:v>A2 — kontakt w 7 dni</x:v>
      </x:c>
      <x:c r="C36" s="102" t="n">
        <x:f>'Leady B2B'!C36</x:f>
        <x:v>79</x:v>
      </x:c>
      <x:c r="D36" s="47" t="str">
        <x:f>'Leady B2B'!D36</x:f>
        <x:v>PGT — Polska Grupa Tytoniowa</x:v>
      </x:c>
      <x:c r="E36" s="47" t="str">
        <x:f>'Leady B2B'!E36</x:f>
        <x:v>Partner cross-sell / kanał sąsiedni</x:v>
      </x:c>
      <x:c r="F36" s="47" t="str">
        <x:f>'Leady B2B'!F36</x:f>
        <x:v>S4 — Vape/e-papierosy</x:v>
      </x:c>
      <x:c r="G36" s="47" t="str">
        <x:f>'Leady B2B'!G36</x:f>
        <x:v>Hurt ogólnopolski</x:v>
      </x:c>
      <x:c r="H36" s="47" t="str">
        <x:f>'Leady B2B'!H36</x:f>
        <x:v>Pomorskie</x:v>
      </x:c>
      <x:c r="I36" s="47" t="str">
        <x:f>'Leady B2B'!I36</x:f>
        <x:v>Myślibórz</x:v>
      </x:c>
      <x:c r="J36" s="47" t="str">
        <x:f>'Leady B2B'!J36</x:f>
        <x:v>Duży</x:v>
      </x:c>
      <x:c r="K36" s="47" t="str">
        <x:f>'Leady B2B'!K36</x:f>
        <x:v>biuro@polskagt.pl</x:v>
      </x:c>
      <x:c r="L36" s="47" t="str">
        <x:f>'Leady B2B'!L36</x:f>
        <x:v>+48 502 399 832</x:v>
      </x:c>
      <x:c r="M36" s="47" t="str">
        <x:f>'Leady B2B'!M36</x:f>
      </x:c>
      <x:c r="N36" s="47" t="str">
        <x:f>'Leady B2B'!N36</x:f>
      </x:c>
      <x:c r="O36" s="47" t="str">
        <x:f>'Leady B2B'!O36</x:f>
        <x:v>https://polskagt.pl</x:v>
      </x:c>
      <x:c r="P36" s="47" t="str">
        <x:f>'Leady B2B'!P36</x:f>
        <x:v>Multiple locations: Myślibórz, Bydgoszcz, Łódź, Warszawa, Piekary Śląskie</x:v>
      </x:c>
      <x:c r="Q36" s="47" t="str">
        <x:f>'Leady B2B'!Q36</x:f>
        <x:v>4980260426</x:v>
      </x:c>
      <x:c r="R36" s="47" t="str">
        <x:f>'Leady B2B'!R36</x:f>
      </x:c>
      <x:c r="S36" s="47" t="str">
        <x:f>'Leady B2B'!S36</x:f>
        <x:v>Headshop (Bonga, Shisha) | Papierosy | Tytoń | Vape &amp; E-papierosy | Al Fakher | Colts | Dinner Lady | Killa | Nice | Pablo | Akcesoria | Rdzeń systemu nabijarek</x:v>
      </x:c>
      <x:c r="T36" s="47" t="str">
        <x:f>'Leady B2B'!T36</x:f>
        <x:v>Pełny</x:v>
      </x:c>
      <x:c r="U36" s="47" t="str">
        <x:f>'Leady B2B'!U36</x:f>
        <x:v>Nowy</x:v>
      </x:c>
      <x:c r="V36" s="47" t="str">
        <x:f>'Leady B2B'!V36</x:f>
        <x:v>BILLS — hurt@bills.pl</x:v>
      </x:c>
      <x:c r="W36" s="47" t="str">
        <x:f>'Leady B2B'!W36</x:f>
        <x:v>E-mail handlowy + telefon follow-up w ciągu 48 godzin</x:v>
      </x:c>
      <x:c r="X36" s="109" t="n">
        <x:f>'Leady B2B'!X36</x:f>
        <x:v>46227</x:v>
      </x:c>
    </x:row>
    <x:row r="37" ht="38" customHeight="1">
      <x:c r="A37" s="101" t="n">
        <x:f>'Leady B2B'!A37</x:f>
        <x:v>35</x:v>
      </x:c>
      <x:c r="B37" s="102" t="str">
        <x:f>'Leady B2B'!B37</x:f>
        <x:v>A2 — kontakt w 7 dni</x:v>
      </x:c>
      <x:c r="C37" s="102" t="n">
        <x:f>'Leady B2B'!C37</x:f>
        <x:v>79</x:v>
      </x:c>
      <x:c r="D37" s="47" t="str">
        <x:f>'Leady B2B'!D37</x:f>
        <x:v>Orion Tobacco Poland Sp. z o.o.</x:v>
      </x:c>
      <x:c r="E37" s="47" t="str">
        <x:f>'Leady B2B'!E37</x:f>
        <x:v>Partner strategiczny / możliwy konflikt produktowy</x:v>
      </x:c>
      <x:c r="F37" s="47" t="str">
        <x:f>'Leady B2B'!F37</x:f>
        <x:v>S1 — RYO/MYO, gilzy i nabijarki</x:v>
      </x:c>
      <x:c r="G37" s="47" t="str">
        <x:f>'Leady B2B'!G37</x:f>
        <x:v>Producent</x:v>
      </x:c>
      <x:c r="H37" s="47" t="str">
        <x:f>'Leady B2B'!H37</x:f>
        <x:v>Mazowieckie</x:v>
      </x:c>
      <x:c r="I37" s="47" t="str">
        <x:f>'Leady B2B'!I37</x:f>
        <x:v>Goszczyn</x:v>
      </x:c>
      <x:c r="J37" s="47" t="str">
        <x:f>'Leady B2B'!J37</x:f>
        <x:v>Duży</x:v>
      </x:c>
      <x:c r="K37" s="47" t="str">
        <x:f>'Leady B2B'!K37</x:f>
        <x:v>karolina@orion.mail.pl; orion@orion.mail.pl</x:v>
      </x:c>
      <x:c r="L37" s="47" t="str">
        <x:f>'Leady B2B'!L37</x:f>
        <x:v>+48 48 663 25 46; +48 48 663 28 10</x:v>
      </x:c>
      <x:c r="M37" s="47" t="str">
        <x:f>'Leady B2B'!M37</x:f>
        <x:v>Karolina Kornaszewska</x:v>
      </x:c>
      <x:c r="N37" s="47" t="str">
        <x:f>'Leady B2B'!N37</x:f>
        <x:v>Dział sprzedaży krajowej</x:v>
      </x:c>
      <x:c r="O37" s="47" t="str">
        <x:f>'Leady B2B'!O37</x:f>
        <x:v>https://orion-orion.pl</x:v>
      </x:c>
      <x:c r="P37" s="47" t="str">
        <x:f>'Leady B2B'!P37</x:f>
        <x:v>Jakubów 5, 05-610 Goszczyn</x:v>
      </x:c>
      <x:c r="Q37" s="47" t="n">
        <x:f>'Leady B2B'!Q37</x:f>
        <x:v>0</x:v>
      </x:c>
      <x:c r="R37" s="47" t="str">
        <x:f>'Leady B2B'!R37</x:f>
      </x:c>
      <x:c r="S37" s="47" t="str">
        <x:f>'Leady B2B'!S37</x:f>
        <x:v>Akcesoria Tytoniowe | Nabijarki &amp; Zwijarki | Tytoń | Cigarette tubes | Filling machines | Filter tips | Fine-cut tobacco | Rollers | Rolling papers | Rdzeń systemu nabijarek</x:v>
      </x:c>
      <x:c r="T37" s="47" t="str">
        <x:f>'Leady B2B'!T37</x:f>
        <x:v>Pełny</x:v>
      </x:c>
      <x:c r="U37" s="47" t="str">
        <x:f>'Leady B2B'!U37</x:f>
        <x:v>Nowy</x:v>
      </x:c>
      <x:c r="V37" s="47" t="str">
        <x:f>'Leady B2B'!V37</x:f>
        <x:v>BILLS — hurt@bills.pl</x:v>
      </x:c>
      <x:c r="W37" s="47" t="str">
        <x:f>'Leady B2B'!W37</x:f>
        <x:v>Rozmowa strategiczna z dyrektorem handlowym; bez standardowego cold maila</x:v>
      </x:c>
      <x:c r="X37" s="109" t="n">
        <x:f>'Leady B2B'!X37</x:f>
        <x:v>46227</x:v>
      </x:c>
    </x:row>
    <x:row r="38" ht="38" customHeight="1">
      <x:c r="A38" s="101" t="n">
        <x:f>'Leady B2B'!A38</x:f>
        <x:v>36</x:v>
      </x:c>
      <x:c r="B38" s="102" t="str">
        <x:f>'Leady B2B'!B38</x:f>
        <x:v>A2 — kontakt w 7 dni</x:v>
      </x:c>
      <x:c r="C38" s="102" t="n">
        <x:f>'Leady B2B'!C38</x:f>
        <x:v>78</x:v>
      </x:c>
      <x:c r="D38" s="47" t="str">
        <x:f>'Leady B2B'!D38</x:f>
        <x:v>Wasserman</x:v>
      </x:c>
      <x:c r="E38" s="47" t="str">
        <x:f>'Leady B2B'!E38</x:f>
        <x:v>Potencjalny reseller / odbiorca hurtowy</x:v>
      </x:c>
      <x:c r="F38" s="47" t="str">
        <x:f>'Leady B2B'!F38</x:f>
        <x:v>S1 — RYO/MYO, gilzy i nabijarki</x:v>
      </x:c>
      <x:c r="G38" s="47" t="str">
        <x:f>'Leady B2B'!G38</x:f>
        <x:v>Hurt B2B + detal</x:v>
      </x:c>
      <x:c r="H38" s="47" t="str">
        <x:f>'Leady B2B'!H38</x:f>
        <x:v>Pomorskie</x:v>
      </x:c>
      <x:c r="I38" s="47" t="str">
        <x:f>'Leady B2B'!I38</x:f>
        <x:v>Szczecin</x:v>
      </x:c>
      <x:c r="J38" s="47" t="str">
        <x:f>'Leady B2B'!J38</x:f>
        <x:v>Nieustalona</x:v>
      </x:c>
      <x:c r="K38" s="47" t="str">
        <x:f>'Leady B2B'!K38</x:f>
        <x:v>sklep@wasserman.pl</x:v>
      </x:c>
      <x:c r="L38" s="47" t="n">
        <x:f>'Leady B2B'!L38</x:f>
        <x:v>0</x:v>
      </x:c>
      <x:c r="M38" s="47" t="n">
        <x:f>'Leady B2B'!M38</x:f>
        <x:v>0</x:v>
      </x:c>
      <x:c r="N38" s="47" t="str">
        <x:f>'Leady B2B'!N38</x:f>
      </x:c>
      <x:c r="O38" s="47" t="str">
        <x:f>'Leady B2B'!O38</x:f>
        <x:v>https://www.wasserman.eu</x:v>
      </x:c>
      <x:c r="P38" s="47" t="str">
        <x:f>'Leady B2B'!P38</x:f>
        <x:v>Szczecin, Poland</x:v>
      </x:c>
      <x:c r="Q38" s="47" t="n">
        <x:f>'Leady B2B'!Q38</x:f>
        <x:v>0</x:v>
      </x:c>
      <x:c r="R38" s="47" t="str">
        <x:f>'Leady B2B'!R38</x:f>
      </x:c>
      <x:c r="S38" s="47" t="str">
        <x:f>'Leady B2B'!S38</x:f>
        <x:v>Nabijarki &amp; Zwijarki | Gerui | Various unbranded | Elektronika | Różne</x:v>
      </x:c>
      <x:c r="T38" s="47" t="str">
        <x:f>'Leady B2B'!T38</x:f>
        <x:v>Częściowy</x:v>
      </x:c>
      <x:c r="U38" s="47" t="str">
        <x:f>'Leady B2B'!U38</x:f>
        <x:v>Nowy</x:v>
      </x:c>
      <x:c r="V38" s="47" t="str">
        <x:f>'Leady B2B'!V38</x:f>
        <x:v>BILLS — hurt@bills.pl</x:v>
      </x:c>
      <x:c r="W38" s="47" t="str">
        <x:f>'Leady B2B'!W38</x:f>
        <x:v>E-mail handlowy + telefon follow-up w ciągu 48 godzin</x:v>
      </x:c>
      <x:c r="X38" s="109" t="n">
        <x:f>'Leady B2B'!X38</x:f>
        <x:v>46227</x:v>
      </x:c>
    </x:row>
    <x:row r="39" ht="38" customHeight="1">
      <x:c r="A39" s="101" t="n">
        <x:f>'Leady B2B'!A39</x:f>
        <x:v>37</x:v>
      </x:c>
      <x:c r="B39" s="102" t="str">
        <x:f>'Leady B2B'!B39</x:f>
        <x:v>A2 — kontakt w 7 dni</x:v>
      </x:c>
      <x:c r="C39" s="102" t="n">
        <x:f>'Leady B2B'!C39</x:f>
        <x:v>78</x:v>
      </x:c>
      <x:c r="D39" s="47" t="str">
        <x:f>'Leady B2B'!D39</x:f>
        <x:v>Shishka79.pl</x:v>
      </x:c>
      <x:c r="E39" s="47" t="str">
        <x:f>'Leady B2B'!E39</x:f>
        <x:v>Potencjalny reseller / odbiorca hurtowy</x:v>
      </x:c>
      <x:c r="F39" s="47" t="str">
        <x:f>'Leady B2B'!F39</x:f>
        <x:v>S1 — RYO/MYO, gilzy i nabijarki</x:v>
      </x:c>
      <x:c r="G39" s="47" t="str">
        <x:f>'Leady B2B'!G39</x:f>
        <x:v>Hurt ogólnopolski</x:v>
      </x:c>
      <x:c r="H39" s="47" t="str">
        <x:f>'Leady B2B'!H39</x:f>
        <x:v>Ogólnopolska</x:v>
      </x:c>
      <x:c r="I39" s="47" t="str">
        <x:f>'Leady B2B'!I39</x:f>
        <x:v>Ogólnopolska</x:v>
      </x:c>
      <x:c r="J39" s="47" t="str">
        <x:f>'Leady B2B'!J39</x:f>
        <x:v>Średni</x:v>
      </x:c>
      <x:c r="K39" s="47" t="n">
        <x:f>'Leady B2B'!K39</x:f>
        <x:v>0</x:v>
      </x:c>
      <x:c r="L39" s="47" t="n">
        <x:f>'Leady B2B'!L39</x:f>
        <x:v>0</x:v>
      </x:c>
      <x:c r="M39" s="47" t="n">
        <x:f>'Leady B2B'!M39</x:f>
        <x:v>0</x:v>
      </x:c>
      <x:c r="N39" s="47" t="str">
        <x:f>'Leady B2B'!N39</x:f>
      </x:c>
      <x:c r="O39" s="47" t="str">
        <x:f>'Leady B2B'!O39</x:f>
        <x:v>https://www.shishka79.pl/180-nabijarki-tlokowe</x:v>
      </x:c>
      <x:c r="P39" s="47" t="str">
        <x:f>'Leady B2B'!P39</x:f>
        <x:v>Poland-wide, Polska</x:v>
      </x:c>
      <x:c r="Q39" s="47" t="n">
        <x:f>'Leady B2B'!Q39</x:f>
        <x:v>0</x:v>
      </x:c>
      <x:c r="R39" s="47" t="str">
        <x:f>'Leady B2B'!R39</x:f>
      </x:c>
      <x:c r="S39" s="47" t="str">
        <x:f>'Leady B2B'!S39</x:f>
        <x:v>Nabijarki &amp; Zwijarki | Papierosy | Akcesoria | Tytoń | Vape</x:v>
      </x:c>
      <x:c r="T39" s="47" t="str">
        <x:f>'Leady B2B'!T39</x:f>
        <x:v>Brak bezpośredniego kontaktu</x:v>
      </x:c>
      <x:c r="U39" s="47" t="str">
        <x:f>'Leady B2B'!U39</x:f>
        <x:v>Nowy</x:v>
      </x:c>
      <x:c r="V39" s="47" t="str">
        <x:f>'Leady B2B'!V39</x:f>
        <x:v>BILLS — hurt@bills.pl</x:v>
      </x:c>
      <x:c r="W39" s="47" t="str">
        <x:f>'Leady B2B'!W39</x:f>
        <x:v>E-mail handlowy + telefon follow-up w ciągu 48 godzin</x:v>
      </x:c>
      <x:c r="X39" s="109" t="n">
        <x:f>'Leady B2B'!X39</x:f>
        <x:v>46227</x:v>
      </x:c>
    </x:row>
    <x:row r="40" ht="38" customHeight="1">
      <x:c r="A40" s="101" t="n">
        <x:f>'Leady B2B'!A40</x:f>
        <x:v>38</x:v>
      </x:c>
      <x:c r="B40" s="102" t="str">
        <x:f>'Leady B2B'!B40</x:f>
        <x:v>A2 — kontakt w 7 dni</x:v>
      </x:c>
      <x:c r="C40" s="102" t="n">
        <x:f>'Leady B2B'!C40</x:f>
        <x:v>78</x:v>
      </x:c>
      <x:c r="D40" s="47" t="str">
        <x:f>'Leady B2B'!D40</x:f>
        <x:v>P.H.U. TOP Sp.j. S. Magiera i wspólnicy / Silverado</x:v>
      </x:c>
      <x:c r="E40" s="47" t="str">
        <x:f>'Leady B2B'!E40</x:f>
        <x:v>Potencjalny reseller / odbiorca hurtowy</x:v>
      </x:c>
      <x:c r="F40" s="47" t="str">
        <x:f>'Leady B2B'!F40</x:f>
        <x:v>S1 — RYO/MYO, gilzy i nabijarki</x:v>
      </x:c>
      <x:c r="G40" s="47" t="str">
        <x:f>'Leady B2B'!G40</x:f>
        <x:v>Hurt B2B regionalny</x:v>
      </x:c>
      <x:c r="H40" s="47" t="str">
        <x:f>'Leady B2B'!H40</x:f>
        <x:v>Dolnośląskie</x:v>
      </x:c>
      <x:c r="I40" s="47" t="str">
        <x:f>'Leady B2B'!I40</x:f>
        <x:v>Wrocław</x:v>
      </x:c>
      <x:c r="J40" s="47" t="str">
        <x:f>'Leady B2B'!J40</x:f>
        <x:v>Średni</x:v>
      </x:c>
      <x:c r="K40" s="47" t="n">
        <x:f>'Leady B2B'!K40</x:f>
        <x:v>0</x:v>
      </x:c>
      <x:c r="L40" s="47" t="n">
        <x:f>'Leady B2B'!L40</x:f>
        <x:v>0</x:v>
      </x:c>
      <x:c r="M40" s="47" t="n">
        <x:f>'Leady B2B'!M40</x:f>
        <x:v>0</x:v>
      </x:c>
      <x:c r="N40" s="47" t="str">
        <x:f>'Leady B2B'!N40</x:f>
      </x:c>
      <x:c r="O40" s="47" t="str">
        <x:f>'Leady B2B'!O40</x:f>
        <x:v>https://www.silverado-top.pl</x:v>
      </x:c>
      <x:c r="P40" s="47" t="str">
        <x:f>'Leady B2B'!P40</x:f>
        <x:v>ul. Metalowców 25, 54-156 Wrocław</x:v>
      </x:c>
      <x:c r="Q40" s="47" t="n">
        <x:f>'Leady B2B'!Q40</x:f>
        <x:v>0</x:v>
      </x:c>
      <x:c r="R40" s="47" t="str">
        <x:f>'Leady B2B'!R40</x:f>
      </x:c>
      <x:c r="S40" s="47" t="str">
        <x:f>'Leady B2B'!S40</x:f>
        <x:v>Papierosy | Gilzy papierosowe | Akcesoria Tytoniowe | Tytoń | FMCG | Akcesoria</x:v>
      </x:c>
      <x:c r="T40" s="47" t="str">
        <x:f>'Leady B2B'!T40</x:f>
        <x:v>Brak bezpośredniego kontaktu</x:v>
      </x:c>
      <x:c r="U40" s="47" t="str">
        <x:f>'Leady B2B'!U40</x:f>
        <x:v>Nowy</x:v>
      </x:c>
      <x:c r="V40" s="47" t="str">
        <x:f>'Leady B2B'!V40</x:f>
        <x:v>BILLS — hurt@bills.pl</x:v>
      </x:c>
      <x:c r="W40" s="47" t="str">
        <x:f>'Leady B2B'!W40</x:f>
        <x:v>E-mail handlowy + telefon follow-up w ciągu 48 godzin</x:v>
      </x:c>
      <x:c r="X40" s="109" t="n">
        <x:f>'Leady B2B'!X40</x:f>
        <x:v>46227</x:v>
      </x:c>
    </x:row>
    <x:row r="41" ht="38" customHeight="1">
      <x:c r="A41" s="101" t="n">
        <x:f>'Leady B2B'!A41</x:f>
        <x:v>39</x:v>
      </x:c>
      <x:c r="B41" s="102" t="str">
        <x:f>'Leady B2B'!B41</x:f>
        <x:v>A2 — kontakt w 7 dni</x:v>
      </x:c>
      <x:c r="C41" s="102" t="n">
        <x:f>'Leady B2B'!C41</x:f>
        <x:v>78</x:v>
      </x:c>
      <x:c r="D41" s="47" t="str">
        <x:f>'Leady B2B'!D41</x:f>
        <x:v>MARWIN POLSKA</x:v>
      </x:c>
      <x:c r="E41" s="47" t="str">
        <x:f>'Leady B2B'!E41</x:f>
        <x:v>Potencjalny reseller / odbiorca hurtowy</x:v>
      </x:c>
      <x:c r="F41" s="47" t="str">
        <x:f>'Leady B2B'!F41</x:f>
        <x:v>S1 — RYO/MYO, gilzy i nabijarki</x:v>
      </x:c>
      <x:c r="G41" s="47" t="str">
        <x:f>'Leady B2B'!G41</x:f>
        <x:v>Hurt B2B regionalny</x:v>
      </x:c>
      <x:c r="H41" s="47" t="str">
        <x:f>'Leady B2B'!H41</x:f>
        <x:v>Małopolskie</x:v>
      </x:c>
      <x:c r="I41" s="47" t="str">
        <x:f>'Leady B2B'!I41</x:f>
        <x:v>Kraków</x:v>
      </x:c>
      <x:c r="J41" s="47" t="str">
        <x:f>'Leady B2B'!J41</x:f>
        <x:v>Średni</x:v>
      </x:c>
      <x:c r="K41" s="47" t="str">
        <x:f>'Leady B2B'!K41</x:f>
      </x:c>
      <x:c r="L41" s="47" t="n">
        <x:f>'Leady B2B'!L41</x:f>
        <x:v>0</x:v>
      </x:c>
      <x:c r="M41" s="47" t="n">
        <x:f>'Leady B2B'!M41</x:f>
        <x:v>0</x:v>
      </x:c>
      <x:c r="N41" s="47" t="str">
        <x:f>'Leady B2B'!N41</x:f>
      </x:c>
      <x:c r="O41" s="47" t="str">
        <x:f>'Leady B2B'!O41</x:f>
        <x:v>http://www.marwinpolska.pl</x:v>
      </x:c>
      <x:c r="P41" s="47" t="str">
        <x:f>'Leady B2B'!P41</x:f>
        <x:v>ul. Mistrzejowicka 2, 31-651 Kraków</x:v>
      </x:c>
      <x:c r="Q41" s="47" t="n">
        <x:f>'Leady B2B'!Q41</x:f>
        <x:v>0</x:v>
      </x:c>
      <x:c r="R41" s="47" t="str">
        <x:f>'Leady B2B'!R41</x:f>
      </x:c>
      <x:c r="S41" s="47" t="str">
        <x:f>'Leady B2B'!S41</x:f>
        <x:v>Papierosy | Cygaretki | Bibułki | Filtry | Tytoń premium | Tytoń | Akcesoria</x:v>
      </x:c>
      <x:c r="T41" s="47" t="str">
        <x:f>'Leady B2B'!T41</x:f>
        <x:v>Brak bezpośredniego kontaktu</x:v>
      </x:c>
      <x:c r="U41" s="47" t="str">
        <x:f>'Leady B2B'!U41</x:f>
        <x:v>Nowy</x:v>
      </x:c>
      <x:c r="V41" s="47" t="str">
        <x:f>'Leady B2B'!V41</x:f>
        <x:v>BILLS — hurt@bills.pl</x:v>
      </x:c>
      <x:c r="W41" s="47" t="str">
        <x:f>'Leady B2B'!W41</x:f>
        <x:v>E-mail handlowy + telefon follow-up w ciągu 48 godzin</x:v>
      </x:c>
      <x:c r="X41" s="109" t="n">
        <x:f>'Leady B2B'!X41</x:f>
        <x:v>46227</x:v>
      </x:c>
    </x:row>
    <x:row r="42" ht="38" customHeight="1">
      <x:c r="A42" s="101" t="n">
        <x:f>'Leady B2B'!A42</x:f>
        <x:v>40</x:v>
      </x:c>
      <x:c r="B42" s="102" t="str">
        <x:f>'Leady B2B'!B42</x:f>
        <x:v>A2 — kontakt w 7 dni</x:v>
      </x:c>
      <x:c r="C42" s="102" t="n">
        <x:f>'Leady B2B'!C42</x:f>
        <x:v>77</x:v>
      </x:c>
      <x:c r="D42" s="47" t="str">
        <x:f>'Leady B2B'!D42</x:f>
        <x:v>ROCH — Hurtownia Papierosów i Kart GSM</x:v>
      </x:c>
      <x:c r="E42" s="47" t="str">
        <x:f>'Leady B2B'!E42</x:f>
        <x:v>Potencjalny reseller / odbiorca hurtowy</x:v>
      </x:c>
      <x:c r="F42" s="47" t="str">
        <x:f>'Leady B2B'!F42</x:f>
        <x:v>S2 — Hurtownie tytoniowe/FMCG</x:v>
      </x:c>
      <x:c r="G42" s="47" t="str">
        <x:f>'Leady B2B'!G42</x:f>
        <x:v>Hurt B2B + detal</x:v>
      </x:c>
      <x:c r="H42" s="47" t="str">
        <x:f>'Leady B2B'!H42</x:f>
        <x:v>Małopolskie</x:v>
      </x:c>
      <x:c r="I42" s="47" t="str">
        <x:f>'Leady B2B'!I42</x:f>
        <x:v>Kraków</x:v>
      </x:c>
      <x:c r="J42" s="47" t="str">
        <x:f>'Leady B2B'!J42</x:f>
        <x:v>Średni</x:v>
      </x:c>
      <x:c r="K42" s="47" t="str">
        <x:f>'Leady B2B'!K42</x:f>
      </x:c>
      <x:c r="L42" s="47" t="str">
        <x:f>'Leady B2B'!L42</x:f>
        <x:v>+48 12 416 39 16</x:v>
      </x:c>
      <x:c r="M42" s="47" t="n">
        <x:f>'Leady B2B'!M42</x:f>
        <x:v>0</x:v>
      </x:c>
      <x:c r="N42" s="47" t="str">
        <x:f>'Leady B2B'!N42</x:f>
      </x:c>
      <x:c r="O42" s="47" t="str">
        <x:f>'Leady B2B'!O42</x:f>
        <x:v>https://roch.krakow.pl</x:v>
      </x:c>
      <x:c r="P42" s="47" t="str">
        <x:f>'Leady B2B'!P42</x:f>
        <x:v>Powstańców 62c/1, 31-670 Kraków, Polska</x:v>
      </x:c>
      <x:c r="Q42" s="47" t="n">
        <x:f>'Leady B2B'!Q42</x:f>
        <x:v>0</x:v>
      </x:c>
      <x:c r="R42" s="47" t="str">
        <x:f>'Leady B2B'!R42</x:f>
      </x:c>
      <x:c r="S42" s="47" t="str">
        <x:f>'Leady B2B'!S42</x:f>
        <x:v>Papierosy | Tytoń | Hurt | Sklep Tytoniowy</x:v>
      </x:c>
      <x:c r="T42" s="47" t="str">
        <x:f>'Leady B2B'!T42</x:f>
        <x:v>Częściowy</x:v>
      </x:c>
      <x:c r="U42" s="47" t="str">
        <x:f>'Leady B2B'!U42</x:f>
        <x:v>Nowy</x:v>
      </x:c>
      <x:c r="V42" s="47" t="str">
        <x:f>'Leady B2B'!V42</x:f>
        <x:v>BILLS — hurt@bills.pl</x:v>
      </x:c>
      <x:c r="W42" s="47" t="str">
        <x:f>'Leady B2B'!W42</x:f>
        <x:v>E-mail handlowy + telefon follow-up w ciągu 48 godzin</x:v>
      </x:c>
      <x:c r="X42" s="109" t="n">
        <x:f>'Leady B2B'!X42</x:f>
        <x:v>46227</x:v>
      </x:c>
    </x:row>
    <x:row r="43" ht="38" customHeight="1">
      <x:c r="A43" s="101" t="n">
        <x:f>'Leady B2B'!A43</x:f>
        <x:v>41</x:v>
      </x:c>
      <x:c r="B43" s="102" t="str">
        <x:f>'Leady B2B'!B43</x:f>
        <x:v>A2 — kontakt w 7 dni</x:v>
      </x:c>
      <x:c r="C43" s="102" t="n">
        <x:f>'Leady B2B'!C43</x:f>
        <x:v>77</x:v>
      </x:c>
      <x:c r="D43" s="47" t="str">
        <x:f>'Leady B2B'!D43</x:f>
        <x:v>Lubelskie Zakłady Tytoniowe (LZT)</x:v>
      </x:c>
      <x:c r="E43" s="47" t="str">
        <x:f>'Leady B2B'!E43</x:f>
        <x:v>Potencjalny reseller / odbiorca hurtowy</x:v>
      </x:c>
      <x:c r="F43" s="47" t="str">
        <x:f>'Leady B2B'!F43</x:f>
        <x:v>S2 — Hurtownie tytoniowe/FMCG</x:v>
      </x:c>
      <x:c r="G43" s="47" t="str">
        <x:f>'Leady B2B'!G43</x:f>
        <x:v>Hurt B2B + detal</x:v>
      </x:c>
      <x:c r="H43" s="47" t="str">
        <x:f>'Leady B2B'!H43</x:f>
        <x:v>Lubelskie</x:v>
      </x:c>
      <x:c r="I43" s="47" t="str">
        <x:f>'Leady B2B'!I43</x:f>
        <x:v>Lublin</x:v>
      </x:c>
      <x:c r="J43" s="47" t="str">
        <x:f>'Leady B2B'!J43</x:f>
        <x:v>Średni</x:v>
      </x:c>
      <x:c r="K43" s="47" t="str">
        <x:f>'Leady B2B'!K43</x:f>
      </x:c>
      <x:c r="L43" s="47" t="str">
        <x:f>'Leady B2B'!L43</x:f>
        <x:v>+48 789 477 907</x:v>
      </x:c>
      <x:c r="M43" s="47" t="n">
        <x:f>'Leady B2B'!M43</x:f>
        <x:v>0</x:v>
      </x:c>
      <x:c r="N43" s="47" t="str">
        <x:f>'Leady B2B'!N43</x:f>
      </x:c>
      <x:c r="O43" s="47" t="str">
        <x:f>'Leady B2B'!O43</x:f>
        <x:v>https://lubelskietytonie.pl</x:v>
      </x:c>
      <x:c r="P43" s="47" t="str">
        <x:f>'Leady B2B'!P43</x:f>
        <x:v>Mariana Smoluchowskiego 1, 20-469 Lublin, Polska</x:v>
      </x:c>
      <x:c r="Q43" s="47" t="n">
        <x:f>'Leady B2B'!Q43</x:f>
        <x:v>0</x:v>
      </x:c>
      <x:c r="R43" s="47" t="str">
        <x:f>'Leady B2B'!R43</x:f>
      </x:c>
      <x:c r="S43" s="47" t="str">
        <x:f>'Leady B2B'!S43</x:f>
        <x:v>Tytoń | Hurt | Sklep Tytoniowy</x:v>
      </x:c>
      <x:c r="T43" s="47" t="str">
        <x:f>'Leady B2B'!T43</x:f>
        <x:v>Częściowy</x:v>
      </x:c>
      <x:c r="U43" s="47" t="str">
        <x:f>'Leady B2B'!U43</x:f>
        <x:v>Nowy</x:v>
      </x:c>
      <x:c r="V43" s="47" t="str">
        <x:f>'Leady B2B'!V43</x:f>
        <x:v>BILLS — hurt@bills.pl</x:v>
      </x:c>
      <x:c r="W43" s="47" t="str">
        <x:f>'Leady B2B'!W43</x:f>
        <x:v>E-mail handlowy + telefon follow-up w ciągu 48 godzin</x:v>
      </x:c>
      <x:c r="X43" s="109" t="n">
        <x:f>'Leady B2B'!X43</x:f>
        <x:v>46227</x:v>
      </x:c>
    </x:row>
    <x:row r="44" ht="38" customHeight="1">
      <x:c r="A44" s="101" t="n">
        <x:f>'Leady B2B'!A44</x:f>
        <x:v>42</x:v>
      </x:c>
      <x:c r="B44" s="102" t="str">
        <x:f>'Leady B2B'!B44</x:f>
        <x:v>A2 — kontakt w 7 dni</x:v>
      </x:c>
      <x:c r="C44" s="102" t="n">
        <x:f>'Leady B2B'!C44</x:f>
        <x:v>77</x:v>
      </x:c>
      <x:c r="D44" s="47" t="str">
        <x:f>'Leady B2B'!D44</x:f>
        <x:v>Carmen Sp. z o.o.</x:v>
      </x:c>
      <x:c r="E44" s="47" t="str">
        <x:f>'Leady B2B'!E44</x:f>
        <x:v>Potencjalny reseller / odbiorca hurtowy</x:v>
      </x:c>
      <x:c r="F44" s="47" t="str">
        <x:f>'Leady B2B'!F44</x:f>
        <x:v>S2 — Hurtownie tytoniowe/FMCG</x:v>
      </x:c>
      <x:c r="G44" s="47" t="str">
        <x:f>'Leady B2B'!G44</x:f>
        <x:v>Hurt B2B + detal</x:v>
      </x:c>
      <x:c r="H44" s="47" t="str">
        <x:f>'Leady B2B'!H44</x:f>
        <x:v>Śląskie</x:v>
      </x:c>
      <x:c r="I44" s="47" t="str">
        <x:f>'Leady B2B'!I44</x:f>
        <x:v>Jasienica</x:v>
      </x:c>
      <x:c r="J44" s="47" t="str">
        <x:f>'Leady B2B'!J44</x:f>
        <x:v>Średni</x:v>
      </x:c>
      <x:c r="K44" s="47" t="n">
        <x:f>'Leady B2B'!K44</x:f>
        <x:v>0</x:v>
      </x:c>
      <x:c r="L44" s="47" t="str">
        <x:f>'Leady B2B'!L44</x:f>
        <x:v>+48 33 817 24 00</x:v>
      </x:c>
      <x:c r="M44" s="47" t="n">
        <x:f>'Leady B2B'!M44</x:f>
        <x:v>0</x:v>
      </x:c>
      <x:c r="N44" s="47" t="str">
        <x:f>'Leady B2B'!N44</x:f>
      </x:c>
      <x:c r="O44" s="47" t="str">
        <x:f>'Leady B2B'!O44</x:f>
        <x:v>https://carmen-jasienica.pl</x:v>
      </x:c>
      <x:c r="P44" s="47" t="str">
        <x:f>'Leady B2B'!P44</x:f>
        <x:v>Strumieńska 63, 43-385 Jasienica, Polska</x:v>
      </x:c>
      <x:c r="Q44" s="47" t="n">
        <x:f>'Leady B2B'!Q44</x:f>
        <x:v>0</x:v>
      </x:c>
      <x:c r="R44" s="47" t="str">
        <x:f>'Leady B2B'!R44</x:f>
      </x:c>
      <x:c r="S44" s="47" t="str">
        <x:f>'Leady B2B'!S44</x:f>
        <x:v>Papierosy | Tytoń | Hurt | Sklep Tytoniowy</x:v>
      </x:c>
      <x:c r="T44" s="47" t="str">
        <x:f>'Leady B2B'!T44</x:f>
        <x:v>Częściowy</x:v>
      </x:c>
      <x:c r="U44" s="47" t="str">
        <x:f>'Leady B2B'!U44</x:f>
        <x:v>Nowy</x:v>
      </x:c>
      <x:c r="V44" s="47" t="str">
        <x:f>'Leady B2B'!V44</x:f>
        <x:v>BILLS — hurt@bills.pl</x:v>
      </x:c>
      <x:c r="W44" s="47" t="str">
        <x:f>'Leady B2B'!W44</x:f>
        <x:v>E-mail handlowy + telefon follow-up w ciągu 48 godzin</x:v>
      </x:c>
      <x:c r="X44" s="109" t="n">
        <x:f>'Leady B2B'!X44</x:f>
        <x:v>46227</x:v>
      </x:c>
    </x:row>
    <x:row r="45" ht="38" customHeight="1">
      <x:c r="A45" s="101" t="n">
        <x:f>'Leady B2B'!A45</x:f>
        <x:v>43</x:v>
      </x:c>
      <x:c r="B45" s="102" t="str">
        <x:f>'Leady B2B'!B45</x:f>
        <x:v>A2 — kontakt w 7 dni</x:v>
      </x:c>
      <x:c r="C45" s="102" t="n">
        <x:f>'Leady B2B'!C45</x:f>
        <x:v>75</x:v>
      </x:c>
      <x:c r="D45" s="47" t="str">
        <x:f>'Leady B2B'!D45</x:f>
        <x:v>Gmochowski Jacek — Hurtownia art. tytoniowych</x:v>
      </x:c>
      <x:c r="E45" s="47" t="str">
        <x:f>'Leady B2B'!E45</x:f>
        <x:v>Potencjalny reseller / odbiorca hurtowy</x:v>
      </x:c>
      <x:c r="F45" s="47" t="str">
        <x:f>'Leady B2B'!F45</x:f>
        <x:v>S2 — Hurtownie tytoniowe/FMCG</x:v>
      </x:c>
      <x:c r="G45" s="47" t="str">
        <x:f>'Leady B2B'!G45</x:f>
        <x:v>Hurt ogólnopolski</x:v>
      </x:c>
      <x:c r="H45" s="47" t="str">
        <x:f>'Leady B2B'!H45</x:f>
        <x:v>Ogólnopolska</x:v>
      </x:c>
      <x:c r="I45" s="47" t="str">
        <x:f>'Leady B2B'!I45</x:f>
        <x:v>Wrocław</x:v>
      </x:c>
      <x:c r="J45" s="47" t="str">
        <x:f>'Leady B2B'!J45</x:f>
        <x:v>Średni</x:v>
      </x:c>
      <x:c r="K45" s="47" t="n">
        <x:f>'Leady B2B'!K45</x:f>
        <x:v>0</x:v>
      </x:c>
      <x:c r="L45" s="47" t="n">
        <x:f>'Leady B2B'!L45</x:f>
        <x:v>0</x:v>
      </x:c>
      <x:c r="M45" s="47" t="n">
        <x:f>'Leady B2B'!M45</x:f>
        <x:v>0</x:v>
      </x:c>
      <x:c r="N45" s="47" t="str">
        <x:f>'Leady B2B'!N45</x:f>
      </x:c>
      <x:c r="O45" s="47" t="str">
        <x:f>'Leady B2B'!O45</x:f>
        <x:v>https://po-godzinach.pl/firmy/...</x:v>
      </x:c>
      <x:c r="P45" s="47" t="str">
        <x:f>'Leady B2B'!P45</x:f>
        <x:v>Wrocław (Tęczowa 83)</x:v>
      </x:c>
      <x:c r="Q45" s="47" t="n">
        <x:f>'Leady B2B'!Q45</x:f>
        <x:v>0</x:v>
      </x:c>
      <x:c r="R45" s="47" t="str">
        <x:f>'Leady B2B'!R45</x:f>
      </x:c>
      <x:c r="S45" s="47" t="str">
        <x:f>'Leady B2B'!S45</x:f>
        <x:v>Tytoń | Hurt | Sklep Tytoniowy</x:v>
      </x:c>
      <x:c r="T45" s="47" t="str">
        <x:f>'Leady B2B'!T45</x:f>
        <x:v>Brak bezpośredniego kontaktu</x:v>
      </x:c>
      <x:c r="U45" s="47" t="str">
        <x:f>'Leady B2B'!U45</x:f>
        <x:v>Nowy</x:v>
      </x:c>
      <x:c r="V45" s="47" t="str">
        <x:f>'Leady B2B'!V45</x:f>
        <x:v>BILLS — hurt@bills.pl</x:v>
      </x:c>
      <x:c r="W45" s="47" t="str">
        <x:f>'Leady B2B'!W45</x:f>
        <x:v>E-mail handlowy + telefon follow-up w ciągu 48 godzin</x:v>
      </x:c>
      <x:c r="X45" s="109" t="n">
        <x:f>'Leady B2B'!X45</x:f>
        <x:v>46227</x:v>
      </x:c>
    </x:row>
    <x:row r="46" ht="38" customHeight="1">
      <x:c r="A46" s="101" t="n">
        <x:f>'Leady B2B'!A46</x:f>
        <x:v>44</x:v>
      </x:c>
      <x:c r="B46" s="102" t="str">
        <x:f>'Leady B2B'!B46</x:f>
        <x:v>A2 — kontakt w 7 dni</x:v>
      </x:c>
      <x:c r="C46" s="102" t="n">
        <x:f>'Leady B2B'!C46</x:f>
        <x:v>75</x:v>
      </x:c>
      <x:c r="D46" s="47" t="str">
        <x:f>'Leady B2B'!D46</x:f>
        <x:v>Augusto Limaro</x:v>
      </x:c>
      <x:c r="E46" s="47" t="str">
        <x:f>'Leady B2B'!E46</x:f>
        <x:v>Potencjalny reseller / odbiorca hurtowy</x:v>
      </x:c>
      <x:c r="F46" s="47" t="str">
        <x:f>'Leady B2B'!F46</x:f>
        <x:v>S2 — Hurtownie tytoniowe/FMCG</x:v>
      </x:c>
      <x:c r="G46" s="47" t="str">
        <x:f>'Leady B2B'!G46</x:f>
        <x:v>Hurt ogólnopolski</x:v>
      </x:c>
      <x:c r="H46" s="47" t="str">
        <x:f>'Leady B2B'!H46</x:f>
        <x:v>Ogólnopolska</x:v>
      </x:c>
      <x:c r="I46" s="47" t="str">
        <x:f>'Leady B2B'!I46</x:f>
        <x:v>Jelenia Góra</x:v>
      </x:c>
      <x:c r="J46" s="47" t="str">
        <x:f>'Leady B2B'!J46</x:f>
        <x:v>Średni</x:v>
      </x:c>
      <x:c r="K46" s="47" t="n">
        <x:f>'Leady B2B'!K46</x:f>
        <x:v>0</x:v>
      </x:c>
      <x:c r="L46" s="47" t="n">
        <x:f>'Leady B2B'!L46</x:f>
        <x:v>0</x:v>
      </x:c>
      <x:c r="M46" s="47" t="n">
        <x:f>'Leady B2B'!M46</x:f>
        <x:v>0</x:v>
      </x:c>
      <x:c r="N46" s="47" t="str">
        <x:f>'Leady B2B'!N46</x:f>
      </x:c>
      <x:c r="O46" s="47" t="str">
        <x:f>'Leady B2B'!O46</x:f>
        <x:v>https://augustolimaro.pl/o-nas</x:v>
      </x:c>
      <x:c r="P46" s="47" t="str">
        <x:f>'Leady B2B'!P46</x:f>
        <x:v>Jelenia Góra (serves Zgorzelec, Bolesławiec, Legnica)</x:v>
      </x:c>
      <x:c r="Q46" s="47" t="n">
        <x:f>'Leady B2B'!Q46</x:f>
        <x:v>0</x:v>
      </x:c>
      <x:c r="R46" s="47" t="str">
        <x:f>'Leady B2B'!R46</x:f>
      </x:c>
      <x:c r="S46" s="47" t="str">
        <x:f>'Leady B2B'!S46</x:f>
        <x:v>FMCG | Tytoń | Hurt | Sklep Tytoniowy</x:v>
      </x:c>
      <x:c r="T46" s="47" t="str">
        <x:f>'Leady B2B'!T46</x:f>
        <x:v>Brak bezpośredniego kontaktu</x:v>
      </x:c>
      <x:c r="U46" s="47" t="str">
        <x:f>'Leady B2B'!U46</x:f>
        <x:v>Nowy</x:v>
      </x:c>
      <x:c r="V46" s="47" t="str">
        <x:f>'Leady B2B'!V46</x:f>
        <x:v>BILLS — hurt@bills.pl</x:v>
      </x:c>
      <x:c r="W46" s="47" t="str">
        <x:f>'Leady B2B'!W46</x:f>
        <x:v>E-mail handlowy + telefon follow-up w ciągu 48 godzin</x:v>
      </x:c>
      <x:c r="X46" s="109" t="n">
        <x:f>'Leady B2B'!X46</x:f>
        <x:v>46227</x:v>
      </x:c>
    </x:row>
    <x:row r="47" ht="38" customHeight="1">
      <x:c r="A47" s="101" t="n">
        <x:f>'Leady B2B'!A47</x:f>
        <x:v>45</x:v>
      </x:c>
      <x:c r="B47" s="102" t="str">
        <x:f>'Leady B2B'!B47</x:f>
        <x:v>A2 — kontakt w 7 dni</x:v>
      </x:c>
      <x:c r="C47" s="102" t="n">
        <x:f>'Leady B2B'!C47</x:f>
        <x:v>75</x:v>
      </x:c>
      <x:c r="D47" s="47" t="str">
        <x:f>'Leady B2B'!D47</x:f>
        <x:v>MAGNUS</x:v>
      </x:c>
      <x:c r="E47" s="47" t="str">
        <x:f>'Leady B2B'!E47</x:f>
        <x:v>Partner strategiczny / możliwy konflikt produktowy</x:v>
      </x:c>
      <x:c r="F47" s="47" t="str">
        <x:f>'Leady B2B'!F47</x:f>
        <x:v>S1 — RYO/MYO, gilzy i nabijarki</x:v>
      </x:c>
      <x:c r="G47" s="47" t="str">
        <x:f>'Leady B2B'!G47</x:f>
        <x:v>Producent/importer/dystrybutor</x:v>
      </x:c>
      <x:c r="H47" s="47" t="str">
        <x:f>'Leady B2B'!H47</x:f>
        <x:v>Ogólnopolska</x:v>
      </x:c>
      <x:c r="I47" s="47" t="str">
        <x:f>'Leady B2B'!I47</x:f>
      </x:c>
      <x:c r="J47" s="47" t="str">
        <x:f>'Leady B2B'!J47</x:f>
        <x:v>Duża</x:v>
      </x:c>
      <x:c r="K47" s="47" t="n">
        <x:f>'Leady B2B'!K47</x:f>
        <x:v>0</x:v>
      </x:c>
      <x:c r="L47" s="47" t="n">
        <x:f>'Leady B2B'!L47</x:f>
        <x:v>0</x:v>
      </x:c>
      <x:c r="M47" s="47" t="n">
        <x:f>'Leady B2B'!M47</x:f>
        <x:v>0</x:v>
      </x:c>
      <x:c r="N47" s="47" t="n">
        <x:f>'Leady B2B'!N47</x:f>
        <x:v>0</x:v>
      </x:c>
      <x:c r="O47" s="47" t="str">
        <x:f>'Leady B2B'!O47</x:f>
        <x:v>https://magnustobacco.com</x:v>
      </x:c>
      <x:c r="P47" s="47" t="n">
        <x:f>'Leady B2B'!P47</x:f>
        <x:v>0</x:v>
      </x:c>
      <x:c r="Q47" s="47" t="n">
        <x:f>'Leady B2B'!Q47</x:f>
        <x:v>0</x:v>
      </x:c>
      <x:c r="R47" s="47" t="str">
        <x:f>'Leady B2B'!R47</x:f>
      </x:c>
      <x:c r="S47" s="47" t="str">
        <x:f>'Leady B2B'!S47</x:f>
        <x:v>Akcesoria Tytoniowe | Gilzy &amp; Filtry</x:v>
      </x:c>
      <x:c r="T47" s="47" t="str">
        <x:f>'Leady B2B'!T47</x:f>
        <x:v>Brak bezpośredniego kontaktu</x:v>
      </x:c>
      <x:c r="U47" s="47" t="str">
        <x:f>'Leady B2B'!U47</x:f>
        <x:v>Nowy</x:v>
      </x:c>
      <x:c r="V47" s="47" t="str">
        <x:f>'Leady B2B'!V47</x:f>
        <x:v>BILLS — hurt@bills.pl</x:v>
      </x:c>
      <x:c r="W47" s="47" t="str">
        <x:f>'Leady B2B'!W47</x:f>
        <x:v>Rozmowa strategiczna z dyrektorem handlowym; bez standardowego cold maila</x:v>
      </x:c>
      <x:c r="X47" s="109" t="n">
        <x:f>'Leady B2B'!X47</x:f>
        <x:v>46227</x:v>
      </x:c>
    </x:row>
    <x:row r="48" ht="38" customHeight="1">
      <x:c r="A48" s="101" t="n">
        <x:f>'Leady B2B'!A48</x:f>
        <x:v>46</x:v>
      </x:c>
      <x:c r="B48" s="102" t="str">
        <x:f>'Leady B2B'!B48</x:f>
        <x:v>A2 — kontakt w 7 dni</x:v>
      </x:c>
      <x:c r="C48" s="102" t="n">
        <x:f>'Leady B2B'!C48</x:f>
        <x:v>75</x:v>
      </x:c>
      <x:c r="D48" s="47" t="str">
        <x:f>'Leady B2B'!D48</x:f>
        <x:v>JOKO Hurtownia M. Cukrowska</x:v>
      </x:c>
      <x:c r="E48" s="47" t="str">
        <x:f>'Leady B2B'!E48</x:f>
        <x:v>Potencjalny reseller / odbiorca hurtowy</x:v>
      </x:c>
      <x:c r="F48" s="47" t="str">
        <x:f>'Leady B2B'!F48</x:f>
        <x:v>S1 — RYO/MYO, gilzy i nabijarki</x:v>
      </x:c>
      <x:c r="G48" s="47" t="str">
        <x:f>'Leady B2B'!G48</x:f>
        <x:v>Hurt B2B regionalny</x:v>
      </x:c>
      <x:c r="H48" s="47" t="str">
        <x:f>'Leady B2B'!H48</x:f>
        <x:v>Świętokrzyskie</x:v>
      </x:c>
      <x:c r="I48" s="47" t="str">
        <x:f>'Leady B2B'!I48</x:f>
        <x:v>Końskie</x:v>
      </x:c>
      <x:c r="J48" s="47" t="str">
        <x:f>'Leady B2B'!J48</x:f>
        <x:v>Średni</x:v>
      </x:c>
      <x:c r="K48" s="47" t="str">
        <x:f>'Leady B2B'!K48</x:f>
      </x:c>
      <x:c r="L48" s="47" t="n">
        <x:f>'Leady B2B'!L48</x:f>
        <x:v>0</x:v>
      </x:c>
      <x:c r="M48" s="47" t="n">
        <x:f>'Leady B2B'!M48</x:f>
        <x:v>0</x:v>
      </x:c>
      <x:c r="N48" s="47" t="str">
        <x:f>'Leady B2B'!N48</x:f>
      </x:c>
      <x:c r="O48" s="47" t="str">
        <x:f>'Leady B2B'!O48</x:f>
      </x:c>
      <x:c r="P48" s="47" t="str">
        <x:f>'Leady B2B'!P48</x:f>
        <x:v>ul. Warszawska 49, 26-200 Końskie</x:v>
      </x:c>
      <x:c r="Q48" s="47" t="n">
        <x:f>'Leady B2B'!Q48</x:f>
        <x:v>0</x:v>
      </x:c>
      <x:c r="R48" s="47" t="str">
        <x:f>'Leady B2B'!R48</x:f>
      </x:c>
      <x:c r="S48" s="47" t="str">
        <x:f>'Leady B2B'!S48</x:f>
        <x:v>Papierosy | Wyroby tytoniowe | Tytoń</x:v>
      </x:c>
      <x:c r="T48" s="47" t="str">
        <x:f>'Leady B2B'!T48</x:f>
        <x:v>Brak bezpośredniego kontaktu</x:v>
      </x:c>
      <x:c r="U48" s="47" t="str">
        <x:f>'Leady B2B'!U48</x:f>
        <x:v>Nowy</x:v>
      </x:c>
      <x:c r="V48" s="47" t="str">
        <x:f>'Leady B2B'!V48</x:f>
        <x:v>BILLS — hurt@bills.pl</x:v>
      </x:c>
      <x:c r="W48" s="47" t="str">
        <x:f>'Leady B2B'!W48</x:f>
        <x:v>E-mail handlowy + telefon follow-up w ciągu 48 godzin</x:v>
      </x:c>
      <x:c r="X48" s="109" t="n">
        <x:f>'Leady B2B'!X48</x:f>
        <x:v>46227</x:v>
      </x:c>
    </x:row>
    <x:row r="49" ht="38" customHeight="1">
      <x:c r="A49" s="101" t="n">
        <x:f>'Leady B2B'!A49</x:f>
        <x:v>47</x:v>
      </x:c>
      <x:c r="B49" s="102" t="str">
        <x:f>'Leady B2B'!B49</x:f>
        <x:v>A2 — kontakt w 7 dni</x:v>
      </x:c>
      <x:c r="C49" s="102" t="n">
        <x:f>'Leady B2B'!C49</x:f>
        <x:v>74</x:v>
      </x:c>
      <x:c r="D49" s="47" t="str">
        <x:f>'Leady B2B'!D49</x:f>
        <x:v>Trafica-Hurt s.c.</x:v>
      </x:c>
      <x:c r="E49" s="47" t="str">
        <x:f>'Leady B2B'!E49</x:f>
        <x:v>Potencjalny reseller / odbiorca hurtowy</x:v>
      </x:c>
      <x:c r="F49" s="47" t="str">
        <x:f>'Leady B2B'!F49</x:f>
        <x:v>S2 — Hurtownie tytoniowe/FMCG</x:v>
      </x:c>
      <x:c r="G49" s="47" t="str">
        <x:f>'Leady B2B'!G49</x:f>
        <x:v>Hurt B2B regionalny</x:v>
      </x:c>
      <x:c r="H49" s="47" t="str">
        <x:f>'Leady B2B'!H49</x:f>
        <x:v>Lubelskie</x:v>
      </x:c>
      <x:c r="I49" s="47" t="str">
        <x:f>'Leady B2B'!I49</x:f>
        <x:v>Lublin</x:v>
      </x:c>
      <x:c r="J49" s="47" t="str">
        <x:f>'Leady B2B'!J49</x:f>
        <x:v>Nieustalona</x:v>
      </x:c>
      <x:c r="K49" s="47" t="str">
        <x:f>'Leady B2B'!K49</x:f>
        <x:v>info@trafica-hurt.pl</x:v>
      </x:c>
      <x:c r="L49" s="47" t="str">
        <x:f>'Leady B2B'!L49</x:f>
        <x:v>793 467 060</x:v>
      </x:c>
      <x:c r="M49" s="47" t="n">
        <x:f>'Leady B2B'!M49</x:f>
        <x:v>0</x:v>
      </x:c>
      <x:c r="N49" s="47" t="str">
        <x:f>'Leady B2B'!N49</x:f>
      </x:c>
      <x:c r="O49" s="47" t="str">
        <x:f>'Leady B2B'!O49</x:f>
        <x:v>https://trafica-hurt.pl</x:v>
      </x:c>
      <x:c r="P49" s="47" t="str">
        <x:f>'Leady B2B'!P49</x:f>
        <x:v>ul. Krochmalna 22a, 20-401 Lublin</x:v>
      </x:c>
      <x:c r="Q49" s="47" t="n">
        <x:f>'Leady B2B'!Q49</x:f>
        <x:v>0</x:v>
      </x:c>
      <x:c r="R49" s="47" t="str">
        <x:f>'Leady B2B'!R49</x:f>
      </x:c>
      <x:c r="S49" s="47" t="str">
        <x:f>'Leady B2B'!S49</x:f>
        <x:v>Akcesoria | Tytoń</x:v>
      </x:c>
      <x:c r="T49" s="47" t="str">
        <x:f>'Leady B2B'!T49</x:f>
        <x:v>Pełny</x:v>
      </x:c>
      <x:c r="U49" s="47" t="str">
        <x:f>'Leady B2B'!U49</x:f>
        <x:v>Nowy</x:v>
      </x:c>
      <x:c r="V49" s="47" t="str">
        <x:f>'Leady B2B'!V49</x:f>
        <x:v>BILLS — hurt@bills.pl</x:v>
      </x:c>
      <x:c r="W49" s="47" t="str">
        <x:f>'Leady B2B'!W49</x:f>
        <x:v>E-mail handlowy + telefon follow-up w ciągu 48 godzin</x:v>
      </x:c>
      <x:c r="X49" s="109" t="n">
        <x:f>'Leady B2B'!X49</x:f>
        <x:v>46227</x:v>
      </x:c>
    </x:row>
    <x:row r="50" ht="38" customHeight="1">
      <x:c r="A50" s="101" t="n">
        <x:f>'Leady B2B'!A50</x:f>
        <x:v>48</x:v>
      </x:c>
      <x:c r="B50" s="102" t="str">
        <x:f>'Leady B2B'!B50</x:f>
        <x:v>A2 — kontakt w 7 dni</x:v>
      </x:c>
      <x:c r="C50" s="102" t="n">
        <x:f>'Leady B2B'!C50</x:f>
        <x:v>74</x:v>
      </x:c>
      <x:c r="D50" s="47" t="str">
        <x:f>'Leady B2B'!D50</x:f>
        <x:v>Top-Kart</x:v>
      </x:c>
      <x:c r="E50" s="47" t="str">
        <x:f>'Leady B2B'!E50</x:f>
        <x:v>Potencjalny reseller / odbiorca hurtowy</x:v>
      </x:c>
      <x:c r="F50" s="47" t="str">
        <x:f>'Leady B2B'!F50</x:f>
        <x:v>S2 — Hurtownie tytoniowe/FMCG</x:v>
      </x:c>
      <x:c r="G50" s="47" t="str">
        <x:f>'Leady B2B'!G50</x:f>
        <x:v>Hurt B2B regionalny</x:v>
      </x:c>
      <x:c r="H50" s="47" t="str">
        <x:f>'Leady B2B'!H50</x:f>
        <x:v>Podlaskie</x:v>
      </x:c>
      <x:c r="I50" s="47" t="str">
        <x:f>'Leady B2B'!I50</x:f>
        <x:v>Białystok</x:v>
      </x:c>
      <x:c r="J50" s="47" t="str">
        <x:f>'Leady B2B'!J50</x:f>
        <x:v>Nieustalona</x:v>
      </x:c>
      <x:c r="K50" s="47" t="str">
        <x:f>'Leady B2B'!K50</x:f>
        <x:v>topkart@vp.pl</x:v>
      </x:c>
      <x:c r="L50" s="47" t="str">
        <x:f>'Leady B2B'!L50</x:f>
        <x:v>501 373 302</x:v>
      </x:c>
      <x:c r="M50" s="47" t="n">
        <x:f>'Leady B2B'!M50</x:f>
        <x:v>0</x:v>
      </x:c>
      <x:c r="N50" s="47" t="str">
        <x:f>'Leady B2B'!N50</x:f>
      </x:c>
      <x:c r="O50" s="47" t="str">
        <x:f>'Leady B2B'!O50</x:f>
        <x:v>https://topkart.vp.pl</x:v>
      </x:c>
      <x:c r="P50" s="47" t="str">
        <x:f>'Leady B2B'!P50</x:f>
        <x:v>ul. Mickiewicza 82/1, 15-232 Białystok</x:v>
      </x:c>
      <x:c r="Q50" s="47" t="n">
        <x:f>'Leady B2B'!Q50</x:f>
        <x:v>0</x:v>
      </x:c>
      <x:c r="R50" s="47" t="str">
        <x:f>'Leady B2B'!R50</x:f>
      </x:c>
      <x:c r="S50" s="47" t="str">
        <x:f>'Leady B2B'!S50</x:f>
        <x:v>Akcesoria | Tytoń</x:v>
      </x:c>
      <x:c r="T50" s="47" t="str">
        <x:f>'Leady B2B'!T50</x:f>
        <x:v>Pełny</x:v>
      </x:c>
      <x:c r="U50" s="47" t="str">
        <x:f>'Leady B2B'!U50</x:f>
        <x:v>Nowy</x:v>
      </x:c>
      <x:c r="V50" s="47" t="str">
        <x:f>'Leady B2B'!V50</x:f>
        <x:v>BILLS — hurt@bills.pl</x:v>
      </x:c>
      <x:c r="W50" s="47" t="str">
        <x:f>'Leady B2B'!W50</x:f>
        <x:v>E-mail handlowy + telefon follow-up w ciągu 48 godzin</x:v>
      </x:c>
      <x:c r="X50" s="109" t="n">
        <x:f>'Leady B2B'!X50</x:f>
        <x:v>46227</x:v>
      </x:c>
    </x:row>
    <x:row r="51" ht="38" customHeight="1">
      <x:c r="A51" s="101" t="n">
        <x:f>'Leady B2B'!A51</x:f>
        <x:v>49</x:v>
      </x:c>
      <x:c r="B51" s="102" t="str">
        <x:f>'Leady B2B'!B51</x:f>
        <x:v>A2 — kontakt w 7 dni</x:v>
      </x:c>
      <x:c r="C51" s="102" t="n">
        <x:f>'Leady B2B'!C51</x:f>
        <x:v>73</x:v>
      </x:c>
      <x:c r="D51" s="47" t="str">
        <x:f>'Leady B2B'!D51</x:f>
        <x:v>Bista Standard</x:v>
      </x:c>
      <x:c r="E51" s="47" t="str">
        <x:f>'Leady B2B'!E51</x:f>
        <x:v>Potencjalny reseller / odbiorca hurtowy</x:v>
      </x:c>
      <x:c r="F51" s="47" t="str">
        <x:f>'Leady B2B'!F51</x:f>
        <x:v>S3 — Akcesoria dla palaczy/headshop</x:v>
      </x:c>
      <x:c r="G51" s="47" t="str">
        <x:f>'Leady B2B'!G51</x:f>
        <x:v>Hurt B2B + detal</x:v>
      </x:c>
      <x:c r="H51" s="47" t="str">
        <x:f>'Leady B2B'!H51</x:f>
        <x:v>Nieustalony</x:v>
      </x:c>
      <x:c r="I51" s="47" t="str">
        <x:f>'Leady B2B'!I51</x:f>
        <x:v>Bydgoszcz</x:v>
      </x:c>
      <x:c r="J51" s="47" t="str">
        <x:f>'Leady B2B'!J51</x:f>
        <x:v>Nieustalona</x:v>
      </x:c>
      <x:c r="K51" s="47" t="str">
        <x:f>'Leady B2B'!K51</x:f>
        <x:v>biuro@bista.pl</x:v>
      </x:c>
      <x:c r="L51" s="47" t="str">
        <x:f>'Leady B2B'!L51</x:f>
        <x:v>+48 52 360 71 15</x:v>
      </x:c>
      <x:c r="M51" s="47" t="n">
        <x:f>'Leady B2B'!M51</x:f>
        <x:v>0</x:v>
      </x:c>
      <x:c r="N51" s="47" t="str">
        <x:f>'Leady B2B'!N51</x:f>
      </x:c>
      <x:c r="O51" s="47" t="str">
        <x:f>'Leady B2B'!O51</x:f>
        <x:v>https://www.bista.pl</x:v>
      </x:c>
      <x:c r="P51" s="47" t="n">
        <x:f>'Leady B2B'!P51</x:f>
        <x:v>0</x:v>
      </x:c>
      <x:c r="Q51" s="47" t="str">
        <x:f>'Leady B2B'!Q51</x:f>
        <x:v>5542559901</x:v>
      </x:c>
      <x:c r="R51" s="47" t="str">
        <x:f>'Leady B2B'!R51</x:f>
      </x:c>
      <x:c r="S51" s="47" t="str">
        <x:f>'Leady B2B'!S51</x:f>
        <x:v>Akcesoria Tytoniowe | Tytoń | Hurt | Sklep Tytoniowy</x:v>
      </x:c>
      <x:c r="T51" s="47" t="str">
        <x:f>'Leady B2B'!T51</x:f>
        <x:v>Pełny</x:v>
      </x:c>
      <x:c r="U51" s="47" t="str">
        <x:f>'Leady B2B'!U51</x:f>
        <x:v>Nowy</x:v>
      </x:c>
      <x:c r="V51" s="47" t="str">
        <x:f>'Leady B2B'!V51</x:f>
        <x:v>BILLS — hurt@bills.pl</x:v>
      </x:c>
      <x:c r="W51" s="47" t="str">
        <x:f>'Leady B2B'!W51</x:f>
        <x:v>E-mail handlowy + telefon follow-up w ciągu 48 godzin</x:v>
      </x:c>
      <x:c r="X51" s="109" t="n">
        <x:f>'Leady B2B'!X51</x:f>
        <x:v>46227</x:v>
      </x:c>
    </x:row>
    <x:row r="52" ht="38" customHeight="1">
      <x:c r="A52" s="103" t="n">
        <x:f>'Leady B2B'!A52</x:f>
        <x:v>50</x:v>
      </x:c>
      <x:c r="B52" s="104" t="str">
        <x:f>'Leady B2B'!B52</x:f>
        <x:v>A2 — kontakt w 7 dni</x:v>
      </x:c>
      <x:c r="C52" s="104" t="n">
        <x:f>'Leady B2B'!C52</x:f>
        <x:v>73</x:v>
      </x:c>
      <x:c r="D52" s="96" t="str">
        <x:f>'Leady B2B'!D52</x:f>
        <x:v>Hurtownia Papierosów Jacek</x:v>
      </x:c>
      <x:c r="E52" s="96" t="str">
        <x:f>'Leady B2B'!E52</x:f>
        <x:v>Potencjalny reseller / odbiorca hurtowy</x:v>
      </x:c>
      <x:c r="F52" s="96" t="str">
        <x:f>'Leady B2B'!F52</x:f>
        <x:v>S3 — Akcesoria dla palaczy/headshop</x:v>
      </x:c>
      <x:c r="G52" s="96" t="str">
        <x:f>'Leady B2B'!G52</x:f>
        <x:v>Hurt B2B + detal</x:v>
      </x:c>
      <x:c r="H52" s="96" t="str">
        <x:f>'Leady B2B'!H52</x:f>
        <x:v>Pomorskie</x:v>
      </x:c>
      <x:c r="I52" s="96" t="str">
        <x:f>'Leady B2B'!I52</x:f>
        <x:v>Gdynia</x:v>
      </x:c>
      <x:c r="J52" s="96" t="str">
        <x:f>'Leady B2B'!J52</x:f>
        <x:v>Średni</x:v>
      </x:c>
      <x:c r="K52" s="96" t="str">
        <x:f>'Leady B2B'!K52</x:f>
      </x:c>
      <x:c r="L52" s="96" t="str">
        <x:f>'Leady B2B'!L52</x:f>
        <x:v>+48 58 620 70 55</x:v>
      </x:c>
      <x:c r="M52" s="96" t="n">
        <x:f>'Leady B2B'!M52</x:f>
        <x:v>0</x:v>
      </x:c>
      <x:c r="N52" s="96" t="str">
        <x:f>'Leady B2B'!N52</x:f>
      </x:c>
      <x:c r="O52" s="96" t="str">
        <x:f>'Leady B2B'!O52</x:f>
        <x:v>https://hpjacek.pl</x:v>
      </x:c>
      <x:c r="P52" s="96" t="str">
        <x:f>'Leady B2B'!P52</x:f>
        <x:v>Żwirki i Wigury 8, 81-393 Gdynia, Polska</x:v>
      </x:c>
      <x:c r="Q52" s="96" t="n">
        <x:f>'Leady B2B'!Q52</x:f>
        <x:v>0</x:v>
      </x:c>
      <x:c r="R52" s="96" t="str">
        <x:f>'Leady B2B'!R52</x:f>
      </x:c>
      <x:c r="S52" s="96" t="str">
        <x:f>'Leady B2B'!S52</x:f>
        <x:v>Akcesoria Tytoniowe | FMCG | Papierosy | Tytoń | Hurt | Sklep Tytoniowy</x:v>
      </x:c>
      <x:c r="T52" s="96" t="str">
        <x:f>'Leady B2B'!T52</x:f>
        <x:v>Częściowy</x:v>
      </x:c>
      <x:c r="U52" s="96" t="str">
        <x:f>'Leady B2B'!U52</x:f>
        <x:v>Nowy</x:v>
      </x:c>
      <x:c r="V52" s="96" t="str">
        <x:f>'Leady B2B'!V52</x:f>
        <x:v>BILLS — hurt@bills.pl</x:v>
      </x:c>
      <x:c r="W52" s="96" t="str">
        <x:f>'Leady B2B'!W52</x:f>
        <x:v>E-mail handlowy + telefon follow-up w ciągu 48 godzin</x:v>
      </x:c>
      <x:c r="X52" s="110" t="n">
        <x:f>'Leady B2B'!X52</x:f>
        <x:v>46227</x:v>
      </x:c>
    </x:row>
  </x:sheetData>
  <x:mergeCells>
    <x:mergeCell ref="A1:X1"/>
  </x:mergeCells>
  <x:conditionalFormatting sqref="C3:C5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05cdcb49dc548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8" hidden="0" customWidth="1"/>
    <x:col min="4" max="4" width="34" hidden="0" customWidth="1"/>
    <x:col min="5" max="5" width="34" hidden="0" customWidth="1"/>
    <x:col min="6" max="6" width="30" hidden="0" customWidth="1"/>
    <x:col min="7" max="7" width="28" hidden="0" customWidth="1"/>
    <x:col min="8" max="8" width="20" hidden="0" customWidth="1"/>
    <x:col min="9" max="9" width="18" hidden="0" customWidth="1"/>
    <x:col min="10" max="10" width="15" hidden="0" customWidth="1"/>
    <x:col min="11" max="11" width="30" hidden="0" customWidth="1"/>
    <x:col min="12" max="12" width="23" hidden="0" customWidth="1"/>
    <x:col min="13" max="13" width="28" hidden="0" customWidth="1"/>
    <x:col min="14" max="14" width="24" hidden="0" customWidth="1"/>
    <x:col min="15" max="15" width="30" hidden="0" customWidth="1"/>
    <x:col min="16" max="16" width="36" hidden="0" customWidth="1"/>
    <x:col min="17" max="17" width="15" hidden="0" customWidth="1"/>
    <x:col min="18" max="18" width="15" hidden="0" customWidth="1"/>
    <x:col min="19" max="19" width="42" hidden="0" customWidth="1"/>
    <x:col min="20" max="20" width="22" hidden="0" customWidth="1"/>
    <x:col min="21" max="21" width="18" hidden="0" customWidth="1"/>
    <x:col min="22" max="22" width="25" hidden="0" customWidth="1"/>
    <x:col min="23" max="23" width="46" hidden="0" customWidth="1"/>
    <x:col min="24" max="24" width="14" hidden="0" customWidth="1"/>
    <x:col min="25" max="25" width="42" hidden="0" customWidth="1"/>
    <x:col min="26" max="26" width="48" hidden="0" customWidth="1"/>
    <x:col min="27" max="27" width="50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</x:cols>
  <x:sheetData>
    <x:row r="1" ht="32" customHeight="1">
      <x:c r="A1" s="5" t="str">
        <x:v>BILLS — zmapowany i priorytetyzowany katalog leadów B2B w Polsce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</x:row>
    <x:row r="2" ht="42" customHeight="1">
      <x:c r="A2" s="20" t="str">
        <x:v>Rank</x:v>
      </x:c>
      <x:c r="B2" s="21" t="str">
        <x:v>Priorytet</x:v>
      </x:c>
      <x:c r="C2" s="21" t="str">
        <x:v>Score</x:v>
      </x:c>
      <x:c r="D2" s="21" t="str">
        <x:v>Firma</x:v>
      </x:c>
      <x:c r="E2" s="21" t="str">
        <x:v>Relacja handlowa</x:v>
      </x:c>
      <x:c r="F2" s="21" t="str">
        <x:v>Segment</x:v>
      </x:c>
      <x:c r="G2" s="21" t="str">
        <x:v>Kanał</x:v>
      </x:c>
      <x:c r="H2" s="21" t="str">
        <x:v>Województwo</x:v>
      </x:c>
      <x:c r="I2" s="21" t="str">
        <x:v>Miasto</x:v>
      </x:c>
      <x:c r="J2" s="21" t="str">
        <x:v>Skala / zasięg</x:v>
      </x:c>
      <x:c r="K2" s="21" t="str">
        <x:v>Email</x:v>
      </x:c>
      <x:c r="L2" s="21" t="str">
        <x:v>Telefon</x:v>
      </x:c>
      <x:c r="M2" s="21" t="str">
        <x:v>Osoba / dział decyzyjny</x:v>
      </x:c>
      <x:c r="N2" s="21" t="str">
        <x:v>Stanowisko</x:v>
      </x:c>
      <x:c r="O2" s="21" t="str">
        <x:v>Strona WWW</x:v>
      </x:c>
      <x:c r="P2" s="21" t="str">
        <x:v>Adres</x:v>
      </x:c>
      <x:c r="Q2" s="21" t="str">
        <x:v>NIP</x:v>
      </x:c>
      <x:c r="R2" s="21" t="str">
        <x:v>KRS</x:v>
      </x:c>
      <x:c r="S2" s="21" t="str">
        <x:v>Produkty / marki</x:v>
      </x:c>
      <x:c r="T2" s="21" t="str">
        <x:v>Kompletność kontaktu</x:v>
      </x:c>
      <x:c r="U2" s="21" t="str">
        <x:v>Status</x:v>
      </x:c>
      <x:c r="V2" s="21" t="str">
        <x:v>Owner</x:v>
      </x:c>
      <x:c r="W2" s="21" t="str">
        <x:v>Następny krok</x:v>
      </x:c>
      <x:c r="X2" s="21" t="str">
        <x:v>Termin kontaktu</x:v>
      </x:c>
      <x:c r="Y2" s="21" t="str">
        <x:v>Uzasadnienie potencjału</x:v>
      </x:c>
      <x:c r="Z2" s="21" t="str">
        <x:v>Źródła</x:v>
      </x:c>
      <x:c r="AA2" s="21" t="str">
        <x:v>Uwagi</x:v>
      </x:c>
      <x:c r="AB2" s="21" t="str">
        <x:v>Fit produktu</x:v>
      </x:c>
      <x:c r="AC2" s="21" t="str">
        <x:v>Siła kanału</x:v>
      </x:c>
      <x:c r="AD2" s="21" t="str">
        <x:v>Skala</x:v>
      </x:c>
      <x:c r="AE2" s="21" t="str">
        <x:v>Kontaktowalność</x:v>
      </x:c>
      <x:c r="AF2" s="21" t="str">
        <x:v>Gotowość B2B</x:v>
      </x:c>
      <x:c r="AG2" s="21" t="str">
        <x:v>Wiarygodność</x:v>
      </x:c>
      <x:c r="AH2" s="22" t="str">
        <x:v>Kara ryzyka</x:v>
      </x:c>
    </x:row>
    <x:row r="3" ht="34" customHeight="1">
      <x:c r="A3" s="87" t="n">
        <x:v>1</x:v>
      </x:c>
      <x:c r="B3" s="88" t="str">
        <x:f>IF(C3&gt;=82,"A"&amp;1&amp;" — kontakt natychmiast",IF(C3&gt;=72,"A"&amp;2&amp;" — kontakt w 7 dni",IF(C3&gt;=58,"B — kampania regionalna",IF(C3&gt;=42,"C — weryfikacja i nurturing","D — niski priorytet/wykluczyć"))))</x:f>
        <x:v>A1 — kontakt natychmiast</x:v>
      </x:c>
      <x:c r="C3" s="88" t="n">
        <x:f>MAX(0,MIN(100,SUM(AB3:AG3)-AH3))</x:f>
        <x:v>98</x:v>
      </x:c>
      <x:c r="D3" s="62" t="str">
        <x:v>King Hurt — HQ + Branches</x:v>
      </x:c>
      <x:c r="E3" s="62" t="str">
        <x:v>Potencjalny reseller / odbiorca hurtowy</x:v>
      </x:c>
      <x:c r="F3" s="62" t="str">
        <x:v>S1 — RYO/MYO, gilzy i nabijarki</x:v>
      </x:c>
      <x:c r="G3" s="62" t="str">
        <x:v>Hurt ogólnopolski</x:v>
      </x:c>
      <x:c r="H3" s="62" t="str">
        <x:v>Pomorskie</x:v>
      </x:c>
      <x:c r="I3" s="62" t="str">
        <x:v>Szczecin</x:v>
      </x:c>
      <x:c r="J3" s="62" t="str">
        <x:v>Duży</x:v>
      </x:c>
      <x:c r="K3" s="62" t="str">
        <x:v>bok@kinghurt.pl</x:v>
      </x:c>
      <x:c r="L3" s="62" t="str">
        <x:v>+48 609 641 400</x:v>
      </x:c>
      <x:c r="M3" s="62" t="str"/>
      <x:c r="N3" s="62" t="str"/>
      <x:c r="O3" s="62" t="str">
        <x:v>https://kinghurt.pl</x:v>
      </x:c>
      <x:c r="P3" s="62" t="str">
        <x:v>Poland</x:v>
      </x:c>
      <x:c r="Q3" s="62" t="str"/>
      <x:c r="R3" s="62" t="str"/>
      <x:c r="S3" s="62" t="str">
        <x:v>Akcesoria Tytoniowe | Papierosy | Tytoń | Akcesoria oraz produkty impulsowe | Gilzy | Papierosy | Tytoń | Akcesoria | Rdzeń systemu nabijarek</x:v>
      </x:c>
      <x:c r="T3" s="62" t="str">
        <x:f>IF(AND(K3&lt;&gt;"",L3&lt;&gt;"",O3&lt;&gt;""),"Pełny",IF(OR(K3&lt;&gt;"",L3&lt;&gt;""),"Częściowy","Brak bezpośredniego kontaktu"))</x:f>
        <x:v>Pełny</x:v>
      </x:c>
      <x:c r="U3" s="62" t="str">
        <x:v>Nowy</x:v>
      </x:c>
      <x:c r="V3" s="62" t="str">
        <x:v>BILLS — hurt@bills.pl</x:v>
      </x:c>
      <x:c r="W3" s="62" t="str">
        <x:v>Telefon do działu zakupów + personalizowany e-mail tego samego dnia</x:v>
      </x:c>
      <x:c r="X3" s="81" t="n">
        <x:f>IF(C3&gt;=82,'Model scoringu'!$B$4,IF(C3&gt;=72,'Model scoringu'!$B$5,IF(C3&gt;=58,'Model scoringu'!$B$6,"")))</x:f>
        <x:v>46223</x:v>
      </x:c>
      <x:c r="Y3" s="62" t="str">
        <x:v>Bezpośrednie dopasowanie do ryo/myo, gilz lub nabijarek; zasięg ponadregionalny.</x:v>
      </x:c>
      <x:c r="Z3" s="62" t="str">
        <x:v>https://kinghurt.pl</x:v>
      </x:c>
      <x:c r="AA3" s="62" t="str">
        <x:v>Nie potwierdzone | Status źródłowy: Dostępny w katalogu</x:v>
      </x:c>
      <x:c r="AB3" s="50" t="n">
        <x:v>30</x:v>
      </x:c>
      <x:c r="AC3" s="50" t="n">
        <x:v>18</x:v>
      </x:c>
      <x:c r="AD3" s="50" t="n">
        <x:v>15</x:v>
      </x:c>
      <x:c r="AE3" s="50" t="n">
        <x:v>15</x:v>
      </x:c>
      <x:c r="AF3" s="50" t="n">
        <x:v>10</x:v>
      </x:c>
      <x:c r="AG3" s="50" t="n">
        <x:v>10</x:v>
      </x:c>
      <x:c r="AH3" s="57" t="n">
        <x:v>0</x:v>
      </x:c>
    </x:row>
    <x:row r="4" ht="34" customHeight="1">
      <x:c r="A4" s="87" t="n">
        <x:v>2</x:v>
      </x:c>
      <x:c r="B4" s="88" t="str">
        <x:f>IF(C4&gt;=82,"A"&amp;1&amp;" — kontakt natychmiast",IF(C4&gt;=72,"A"&amp;2&amp;" — kontakt w 7 dni",IF(C4&gt;=58,"B — kampania regionalna",IF(C4&gt;=42,"C — weryfikacja i nurturing","D — niski priorytet/wykluczyć"))))</x:f>
        <x:v>A1 — kontakt natychmiast</x:v>
      </x:c>
      <x:c r="C4" s="88" t="n">
        <x:f>MAX(0,MIN(100,SUM(AB4:AG4)-AH4))</x:f>
        <x:v>98</x:v>
      </x:c>
      <x:c r="D4" s="62" t="str">
        <x:v>BongoGo.pl</x:v>
      </x:c>
      <x:c r="E4" s="62" t="str">
        <x:v>Potencjalny reseller / odbiorca hurtowy</x:v>
      </x:c>
      <x:c r="F4" s="62" t="str">
        <x:v>S1 — RYO/MYO, gilzy i nabijarki</x:v>
      </x:c>
      <x:c r="G4" s="62" t="str">
        <x:v>Hurt ogólnopolski</x:v>
      </x:c>
      <x:c r="H4" s="62" t="str">
        <x:v>Ogólnopolska</x:v>
      </x:c>
      <x:c r="I4" s="62" t="str">
        <x:v>Szczecin</x:v>
      </x:c>
      <x:c r="J4" s="62" t="str">
        <x:v>Średni</x:v>
      </x:c>
      <x:c r="K4" s="62" t="str">
        <x:v>kontakt@bongogo.pl</x:v>
      </x:c>
      <x:c r="L4" s="62" t="str">
        <x:v>+48 601 779 697</x:v>
      </x:c>
      <x:c r="M4" s="62" t="str"/>
      <x:c r="N4" s="62" t="str"/>
      <x:c r="O4" s="62" t="str">
        <x:v>https://bongogo.pl/hurtownia-b...</x:v>
      </x:c>
      <x:c r="P4" s="62" t="str">
        <x:v>ul. Bolesława Krzywoustego 51, 70-317 Szczecin</x:v>
      </x:c>
      <x:c r="Q4" s="62" t="str">
        <x:v>9551541914</x:v>
      </x:c>
      <x:c r="R4" s="62" t="str"/>
      <x:c r="S4" s="62" t="str">
        <x:v>Akcesoria Tytoniowe | Headshop (Bonga, Shisha) | Nabijarki &amp; Zwijarki | Hurt | Sklep Tytoniowy</x:v>
      </x:c>
      <x:c r="T4" s="62" t="str">
        <x:f>IF(AND(K4&lt;&gt;"",L4&lt;&gt;"",O4&lt;&gt;""),"Pełny",IF(OR(K4&lt;&gt;"",L4&lt;&gt;""),"Częściowy","Brak bezpośredniego kontaktu"))</x:f>
        <x:v>Pełny</x:v>
      </x:c>
      <x:c r="U4" s="62" t="str">
        <x:v>Nowy</x:v>
      </x:c>
      <x:c r="V4" s="62" t="str">
        <x:v>BILLS — hurt@bills.pl</x:v>
      </x:c>
      <x:c r="W4" s="62" t="str">
        <x:v>Telefon do działu zakupów + personalizowany e-mail tego samego dnia</x:v>
      </x:c>
      <x:c r="X4" s="81" t="n">
        <x:f>IF(C4&gt;=82,'Model scoringu'!$B$4,IF(C4&gt;=72,'Model scoringu'!$B$5,IF(C4&gt;=58,'Model scoringu'!$B$6,"")))</x:f>
        <x:v>46223</x:v>
      </x:c>
      <x:c r="Y4" s="62" t="str">
        <x:v>Bezpośrednie dopasowanie do ryo/myo, gilz lub nabijarek; zasięg ponadregionalny.</x:v>
      </x:c>
      <x:c r="Z4" s="62" t="str">
        <x:v>https://bongogo.pl/hurtownia-b...</x:v>
      </x:c>
      <x:c r="AA4" s="62" t="str">
        <x:v>Likely | Status źródłowy: Niezweryfikowany</x:v>
      </x:c>
      <x:c r="AB4" s="50" t="n">
        <x:v>30</x:v>
      </x:c>
      <x:c r="AC4" s="50" t="n">
        <x:v>18</x:v>
      </x:c>
      <x:c r="AD4" s="50" t="n">
        <x:v>15</x:v>
      </x:c>
      <x:c r="AE4" s="50" t="n">
        <x:v>15</x:v>
      </x:c>
      <x:c r="AF4" s="50" t="n">
        <x:v>10</x:v>
      </x:c>
      <x:c r="AG4" s="50" t="n">
        <x:v>10</x:v>
      </x:c>
      <x:c r="AH4" s="57" t="n">
        <x:v>0</x:v>
      </x:c>
    </x:row>
    <x:row r="5" ht="34" customHeight="1">
      <x:c r="A5" s="87" t="n">
        <x:v>3</x:v>
      </x:c>
      <x:c r="B5" s="88" t="str">
        <x:f>IF(C5&gt;=82,"A"&amp;1&amp;" — kontakt natychmiast",IF(C5&gt;=72,"A"&amp;2&amp;" — kontakt w 7 dni",IF(C5&gt;=58,"B — kampania regionalna",IF(C5&gt;=42,"C — weryfikacja i nurturing","D — niski priorytet/wykluczyć"))))</x:f>
        <x:v>A1 — kontakt natychmiast</x:v>
      </x:c>
      <x:c r="C5" s="88" t="n">
        <x:f>MAX(0,MIN(100,SUM(AB5:AG5)-AH5))</x:f>
        <x:v>96</x:v>
      </x:c>
      <x:c r="D5" s="62" t="str">
        <x:v>Trober Polska Patrick Chrabkowski</x:v>
      </x:c>
      <x:c r="E5" s="62" t="str">
        <x:v>Partner dystrybucyjny/importer</x:v>
      </x:c>
      <x:c r="F5" s="62" t="str">
        <x:v>S1 — RYO/MYO, gilzy i nabijarki</x:v>
      </x:c>
      <x:c r="G5" s="62" t="str">
        <x:v>Importer/dystrybutor krajowy</x:v>
      </x:c>
      <x:c r="H5" s="62" t="str">
        <x:v>Pomorskie</x:v>
      </x:c>
      <x:c r="I5" s="62" t="str">
        <x:v>Kaliska</x:v>
      </x:c>
      <x:c r="J5" s="62" t="str">
        <x:v>Średni</x:v>
      </x:c>
      <x:c r="K5" s="62" t="str">
        <x:v>biuro@trober-polska.pl; anna.skarbek@troeber.com</x:v>
      </x:c>
      <x:c r="L5" s="62" t="str">
        <x:v>+48 58 587 85 14; +48 502 323 283</x:v>
      </x:c>
      <x:c r="M5" s="62" t="str">
        <x:v>Patrick Chrabkowski / Właściciel | Anna Skarbek / Kontakt sprzedażowy Polska</x:v>
      </x:c>
      <x:c r="N5" s="62" t="str"/>
      <x:c r="O5" s="62" t="str">
        <x:v>https://trober-polska.pl/</x:v>
      </x:c>
      <x:c r="P5" s="62" t="str">
        <x:v>ul. Firmowa 2, 83-260 Kaliska</x:v>
      </x:c>
      <x:c r="Q5" s="62" t="str">
        <x:v>5922192789</x:v>
      </x:c>
      <x:c r="R5" s="62" t="str"/>
      <x:c r="S5" s="62" t="str">
        <x:v>Zapalniczki | Gilzy papierosowe | Liquidy | Akcesoria dla palaczy | Akcesoria | Tytoń | Vape</x:v>
      </x:c>
      <x:c r="T5" s="62" t="str">
        <x:f>IF(AND(K5&lt;&gt;"",L5&lt;&gt;"",O5&lt;&gt;""),"Pełny",IF(OR(K5&lt;&gt;"",L5&lt;&gt;""),"Częściowy","Brak bezpośredniego kontaktu"))</x:f>
        <x:v>Pełny</x:v>
      </x:c>
      <x:c r="U5" s="62" t="str">
        <x:v>Nowy</x:v>
      </x:c>
      <x:c r="V5" s="62" t="str">
        <x:v>BILLS — hurt@bills.pl</x:v>
      </x:c>
      <x:c r="W5" s="62" t="str">
        <x:v>Telefon do działu zakupów + personalizowany e-mail tego samego dnia</x:v>
      </x:c>
      <x:c r="X5" s="81" t="n">
        <x:f>IF(C5&gt;=82,'Model scoringu'!$B$4,IF(C5&gt;=72,'Model scoringu'!$B$5,IF(C5&gt;=58,'Model scoringu'!$B$6,"")))</x:f>
        <x:v>46223</x:v>
      </x:c>
      <x:c r="Y5" s="62" t="str">
        <x:v>Bezpośrednie dopasowanie do ryo/myo, gilz lub nabijarek; kompetencje importowo-dystrybucyjne.</x:v>
      </x:c>
      <x:c r="Z5" s="62" t="str">
        <x:v>https://trober-polska.pl/</x:v>
      </x:c>
      <x:c r="AA5" s="62" t="str">
        <x:v>Silny kandydat dystrybucyjny z szerokim asortymentem komplementarnym. | Status źródłowy: Zweryfikowany — aktywna strona</x:v>
      </x:c>
      <x:c r="AB5" s="50" t="n">
        <x:v>30</x:v>
      </x:c>
      <x:c r="AC5" s="50" t="n">
        <x:v>20</x:v>
      </x:c>
      <x:c r="AD5" s="50" t="n">
        <x:v>11</x:v>
      </x:c>
      <x:c r="AE5" s="50" t="n">
        <x:v>15</x:v>
      </x:c>
      <x:c r="AF5" s="50" t="n">
        <x:v>10</x:v>
      </x:c>
      <x:c r="AG5" s="50" t="n">
        <x:v>10</x:v>
      </x:c>
      <x:c r="AH5" s="57" t="n">
        <x:v>0</x:v>
      </x:c>
    </x:row>
    <x:row r="6" ht="34" customHeight="1">
      <x:c r="A6" s="87" t="n">
        <x:v>4</x:v>
      </x:c>
      <x:c r="B6" s="88" t="str">
        <x:f>IF(C6&gt;=82,"A"&amp;1&amp;" — kontakt natychmiast",IF(C6&gt;=72,"A"&amp;2&amp;" — kontakt w 7 dni",IF(C6&gt;=58,"B — kampania regionalna",IF(C6&gt;=42,"C — weryfikacja i nurturing","D — niski priorytet/wykluczyć"))))</x:f>
        <x:v>A1 — kontakt natychmiast</x:v>
      </x:c>
      <x:c r="C6" s="88" t="n">
        <x:f>MAX(0,MIN(100,SUM(AB6:AG6)-AH6))</x:f>
        <x:v>95</x:v>
      </x:c>
      <x:c r="D6" s="62" t="str">
        <x:v>Trafika.pl</x:v>
      </x:c>
      <x:c r="E6" s="62" t="str">
        <x:v>Potencjalny reseller / odbiorca hurtowy</x:v>
      </x:c>
      <x:c r="F6" s="62" t="str">
        <x:v>S1 — RYO/MYO, gilzy i nabijarki</x:v>
      </x:c>
      <x:c r="G6" s="62" t="str">
        <x:v>Hurt B2B + detal</x:v>
      </x:c>
      <x:c r="H6" s="62" t="str">
        <x:v>Ogólnopolska</x:v>
      </x:c>
      <x:c r="I6" s="62" t="str">
        <x:v>Kalisz</x:v>
      </x:c>
      <x:c r="J6" s="62" t="str">
        <x:v>Średni</x:v>
      </x:c>
      <x:c r="K6" s="62" t="str">
        <x:v>biuro@skleptytoniowy.pl</x:v>
      </x:c>
      <x:c r="L6" s="62" t="str">
        <x:v>62 767 46 07</x:v>
      </x:c>
      <x:c r="M6" s="62" t="str"/>
      <x:c r="N6" s="62" t="str"/>
      <x:c r="O6" s="62" t="str">
        <x:v>https://trafika.pl</x:v>
      </x:c>
      <x:c r="P6" s="62" t="str">
        <x:v>ul. Złota 126, 62-800 Kalisz</x:v>
      </x:c>
      <x:c r="Q6" s="62" t="str">
        <x:v>6181914183</x:v>
      </x:c>
      <x:c r="R6" s="62" t="str"/>
      <x:c r="S6" s="62" t="str">
        <x:v>Akcesoria Tytoniowe | FMCG | Nabijarki &amp; Zwijarki | Papierosy | Tytoń | Vape &amp; E-papierosy | Hurt | Sklep Tytoniowy</x:v>
      </x:c>
      <x:c r="T6" s="62" t="str">
        <x:f>IF(AND(K6&lt;&gt;"",L6&lt;&gt;"",O6&lt;&gt;""),"Pełny",IF(OR(K6&lt;&gt;"",L6&lt;&gt;""),"Częściowy","Brak bezpośredniego kontaktu"))</x:f>
        <x:v>Pełny</x:v>
      </x:c>
      <x:c r="U6" s="62" t="str">
        <x:v>Nowy</x:v>
      </x:c>
      <x:c r="V6" s="62" t="str">
        <x:v>BILLS — hurt@bills.pl</x:v>
      </x:c>
      <x:c r="W6" s="62" t="str">
        <x:v>Telefon do działu zakupów + personalizowany e-mail tego samego dnia</x:v>
      </x:c>
      <x:c r="X6" s="81" t="n">
        <x:f>IF(C6&gt;=82,'Model scoringu'!$B$4,IF(C6&gt;=72,'Model scoringu'!$B$5,IF(C6&gt;=58,'Model scoringu'!$B$6,"")))</x:f>
        <x:v>46223</x:v>
      </x:c>
      <x:c r="Y6" s="62" t="str">
        <x:v>Bezpośrednie dopasowanie do ryo/myo, gilz lub nabijarek; zasięg ponadregionalny.</x:v>
      </x:c>
      <x:c r="Z6" s="62" t="str">
        <x:v>https://trafika.pl</x:v>
      </x:c>
      <x:c r="AA6" s="62" t="str">
        <x:v>TAK | Status źródłowy: Niezweryfikowany</x:v>
      </x:c>
      <x:c r="AB6" s="50" t="n">
        <x:v>30</x:v>
      </x:c>
      <x:c r="AC6" s="50" t="n">
        <x:v>15</x:v>
      </x:c>
      <x:c r="AD6" s="50" t="n">
        <x:v>15</x:v>
      </x:c>
      <x:c r="AE6" s="50" t="n">
        <x:v>15</x:v>
      </x:c>
      <x:c r="AF6" s="50" t="n">
        <x:v>10</x:v>
      </x:c>
      <x:c r="AG6" s="50" t="n">
        <x:v>10</x:v>
      </x:c>
      <x:c r="AH6" s="57" t="n">
        <x:v>0</x:v>
      </x:c>
    </x:row>
    <x:row r="7" ht="34" customHeight="1">
      <x:c r="A7" s="87" t="n">
        <x:v>5</x:v>
      </x:c>
      <x:c r="B7" s="88" t="str">
        <x:f>IF(C7&gt;=82,"A"&amp;1&amp;" — kontakt natychmiast",IF(C7&gt;=72,"A"&amp;2&amp;" — kontakt w 7 dni",IF(C7&gt;=58,"B — kampania regionalna",IF(C7&gt;=42,"C — weryfikacja i nurturing","D — niski priorytet/wykluczyć"))))</x:f>
        <x:v>A1 — kontakt natychmiast</x:v>
      </x:c>
      <x:c r="C7" s="88" t="n">
        <x:f>MAX(0,MIN(100,SUM(AB7:AG7)-AH7))</x:f>
        <x:v>95</x:v>
      </x:c>
      <x:c r="D7" s="62" t="str">
        <x:v>TOPartner</x:v>
      </x:c>
      <x:c r="E7" s="62" t="str">
        <x:v>Partner dystrybucyjny/importer</x:v>
      </x:c>
      <x:c r="F7" s="62" t="str">
        <x:v>S1 — RYO/MYO, gilzy i nabijarki</x:v>
      </x:c>
      <x:c r="G7" s="62" t="str">
        <x:v>Importer/dystrybutor krajowy</x:v>
      </x:c>
      <x:c r="H7" s="62" t="str">
        <x:v>Łódzkie</x:v>
      </x:c>
      <x:c r="I7" s="62" t="str">
        <x:v>Pabianice</x:v>
      </x:c>
      <x:c r="J7" s="62" t="str">
        <x:v>Średni</x:v>
      </x:c>
      <x:c r="K7" s="62" t="str">
        <x:v>kontakt@topartner.pl</x:v>
      </x:c>
      <x:c r="L7" s="62" t="str">
        <x:v>+48 42 214 53 98</x:v>
      </x:c>
      <x:c r="M7" s="62" t="str">
        <x:v>Dział handlowy</x:v>
      </x:c>
      <x:c r="N7" s="62" t="str">
        <x:v>Sprzedaż hurtowa</x:v>
      </x:c>
      <x:c r="O7" s="62" t="str">
        <x:v>https://topartner.pl</x:v>
      </x:c>
      <x:c r="P7" s="62" t="str">
        <x:v>ul. Warszawska 44/50, 95-200 Pabianice</x:v>
      </x:c>
      <x:c r="Q7" s="62" t="str"/>
      <x:c r="R7" s="62" t="str"/>
      <x:c r="S7" s="62" t="str">
        <x:v>Bibułki | Bletki | Gilzy papierosowe | Cygaretki | Smoking | Retro | MOODS | Al Capone | Tytoń | Akcesoria</x:v>
      </x:c>
      <x:c r="T7" s="62" t="str">
        <x:f>IF(AND(K7&lt;&gt;"",L7&lt;&gt;"",O7&lt;&gt;""),"Pełny",IF(OR(K7&lt;&gt;"",L7&lt;&gt;""),"Częściowy","Brak bezpośredniego kontaktu"))</x:f>
        <x:v>Pełny</x:v>
      </x:c>
      <x:c r="U7" s="62" t="str">
        <x:v>Nowy</x:v>
      </x:c>
      <x:c r="V7" s="62" t="str">
        <x:v>BILLS — hurt@bills.pl</x:v>
      </x:c>
      <x:c r="W7" s="62" t="str">
        <x:v>Telefon do działu zakupów + personalizowany e-mail tego samego dnia</x:v>
      </x:c>
      <x:c r="X7" s="81" t="n">
        <x:f>IF(C7&gt;=82,'Model scoringu'!$B$4,IF(C7&gt;=72,'Model scoringu'!$B$5,IF(C7&gt;=58,'Model scoringu'!$B$6,"")))</x:f>
        <x:v>46223</x:v>
      </x:c>
      <x:c r="Y7" s="62" t="str">
        <x:v>Bezpośrednie dopasowanie do ryo/myo, gilz lub nabijarek; kompetencje importowo-dystrybucyjne.</x:v>
      </x:c>
      <x:c r="Z7" s="62" t="str">
        <x:v>https://topartner.pl/ | https://topartner.pl</x:v>
      </x:c>
      <x:c r="AA7" s="62" t="str">
        <x:v>Dobre dopasowanie produktowe; konieczne potwierdzenie aktualnej działalności i danych prawnych. | Status źródłowy: Do weryfikacji — źródło katalogowe</x:v>
      </x:c>
      <x:c r="AB7" s="50" t="n">
        <x:v>30</x:v>
      </x:c>
      <x:c r="AC7" s="50" t="n">
        <x:v>20</x:v>
      </x:c>
      <x:c r="AD7" s="50" t="n">
        <x:v>11</x:v>
      </x:c>
      <x:c r="AE7" s="50" t="n">
        <x:v>15</x:v>
      </x:c>
      <x:c r="AF7" s="50" t="n">
        <x:v>10</x:v>
      </x:c>
      <x:c r="AG7" s="50" t="n">
        <x:v>9</x:v>
      </x:c>
      <x:c r="AH7" s="57" t="n">
        <x:v>0</x:v>
      </x:c>
    </x:row>
    <x:row r="8" ht="34" customHeight="1">
      <x:c r="A8" s="87" t="n">
        <x:v>6</x:v>
      </x:c>
      <x:c r="B8" s="88" t="str">
        <x:f>IF(C8&gt;=82,"A"&amp;1&amp;" — kontakt natychmiast",IF(C8&gt;=72,"A"&amp;2&amp;" — kontakt w 7 dni",IF(C8&gt;=58,"B — kampania regionalna",IF(C8&gt;=42,"C — weryfikacja i nurturing","D — niski priorytet/wykluczyć"))))</x:f>
        <x:v>A1 — kontakt natychmiast</x:v>
      </x:c>
      <x:c r="C8" s="88" t="n">
        <x:f>MAX(0,MIN(100,SUM(AB8:AG8)-AH8))</x:f>
        <x:v>95</x:v>
      </x:c>
      <x:c r="D8" s="62" t="str">
        <x:v>Elenpipe</x:v>
      </x:c>
      <x:c r="E8" s="62" t="str">
        <x:v>Potencjalny reseller / odbiorca hurtowy</x:v>
      </x:c>
      <x:c r="F8" s="62" t="str">
        <x:v>S1 — RYO/MYO, gilzy i nabijarki</x:v>
      </x:c>
      <x:c r="G8" s="62" t="str">
        <x:v>Hurt ogólnopolski</x:v>
      </x:c>
      <x:c r="H8" s="62" t="str">
        <x:v>Małopolskie</x:v>
      </x:c>
      <x:c r="I8" s="62" t="str">
        <x:v>Przemyśl</x:v>
      </x:c>
      <x:c r="J8" s="62" t="str">
        <x:v>Duży</x:v>
      </x:c>
      <x:c r="K8" s="62" t="str">
        <x:v>elenpipe.pl@gmail.com</x:v>
      </x:c>
      <x:c r="L8" s="62" t="str">
        <x:v>+48 91 570 53 60</x:v>
      </x:c>
      <x:c r="M8" s="62" t="str"/>
      <x:c r="N8" s="62" t="str"/>
      <x:c r="O8" s="62" t="str">
        <x:v>https://elenpipe.com</x:v>
      </x:c>
      <x:c r="P8" s="62" t="str">
        <x:v>Chodkiewicza 35A, 37-700 Przemyśl</x:v>
      </x:c>
      <x:c r="Q8" s="62" t="str">
        <x:v>7952526523</x:v>
      </x:c>
      <x:c r="R8" s="62" t="str"/>
      <x:c r="S8" s="62" t="str">
        <x:v>Akcesoria Tytoniowe | Nabijarki &amp; Zwijarki | Tytoń | Cases | Cigarette papers | Electric and manual rolling machines | Filters | Lighters | Tobacco injectors | Akcesoria | RYO | Rdzeń systemu nabijarek</x:v>
      </x:c>
      <x:c r="T8" s="62" t="str">
        <x:f>IF(AND(K8&lt;&gt;"",L8&lt;&gt;"",O8&lt;&gt;""),"Pełny",IF(OR(K8&lt;&gt;"",L8&lt;&gt;""),"Częściowy","Brak bezpośredniego kontaktu"))</x:f>
        <x:v>Pełny</x:v>
      </x:c>
      <x:c r="U8" s="62" t="str">
        <x:v>Nowy</x:v>
      </x:c>
      <x:c r="V8" s="62" t="str">
        <x:v>BILLS — hurt@bills.pl</x:v>
      </x:c>
      <x:c r="W8" s="62" t="str">
        <x:v>Telefon do działu zakupów + personalizowany e-mail tego samego dnia</x:v>
      </x:c>
      <x:c r="X8" s="81" t="n">
        <x:f>IF(C8&gt;=82,'Model scoringu'!$B$4,IF(C8&gt;=72,'Model scoringu'!$B$5,IF(C8&gt;=58,'Model scoringu'!$B$6,"")))</x:f>
        <x:v>46223</x:v>
      </x:c>
      <x:c r="Y8" s="62" t="str">
        <x:v>Bezpośrednie dopasowanie do ryo/myo, gilz lub nabijarek; zasięg ponadregionalny.</x:v>
      </x:c>
      <x:c r="Z8" s="62" t="str">
        <x:v>https://elenpipe.com</x:v>
      </x:c>
      <x:c r="AA8" s="62" t="str">
        <x:v>Nie potwierdzone | Status źródłowy: Aktywny</x:v>
      </x:c>
      <x:c r="AB8" s="50" t="n">
        <x:v>30</x:v>
      </x:c>
      <x:c r="AC8" s="50" t="n">
        <x:v>18</x:v>
      </x:c>
      <x:c r="AD8" s="50" t="n">
        <x:v>15</x:v>
      </x:c>
      <x:c r="AE8" s="50" t="n">
        <x:v>15</x:v>
      </x:c>
      <x:c r="AF8" s="50" t="n">
        <x:v>10</x:v>
      </x:c>
      <x:c r="AG8" s="50" t="n">
        <x:v>7</x:v>
      </x:c>
      <x:c r="AH8" s="57" t="n">
        <x:v>0</x:v>
      </x:c>
    </x:row>
    <x:row r="9" ht="34" customHeight="1">
      <x:c r="A9" s="87" t="n">
        <x:v>7</x:v>
      </x:c>
      <x:c r="B9" s="88" t="str">
        <x:f>IF(C9&gt;=82,"A"&amp;1&amp;" — kontakt natychmiast",IF(C9&gt;=72,"A"&amp;2&amp;" — kontakt w 7 dni",IF(C9&gt;=58,"B — kampania regionalna",IF(C9&gt;=42,"C — weryfikacja i nurturing","D — niski priorytet/wykluczyć"))))</x:f>
        <x:v>A1 — kontakt natychmiast</x:v>
      </x:c>
      <x:c r="C9" s="88" t="n">
        <x:f>MAX(0,MIN(100,SUM(AB9:AG9)-AH9))</x:f>
        <x:v>93</x:v>
      </x:c>
      <x:c r="D9" s="62" t="str">
        <x:v>PHU BJB Sp. z o.o.</x:v>
      </x:c>
      <x:c r="E9" s="62" t="str">
        <x:v>Potencjalny reseller / odbiorca hurtowy</x:v>
      </x:c>
      <x:c r="F9" s="62" t="str">
        <x:v>S1 — RYO/MYO, gilzy i nabijarki</x:v>
      </x:c>
      <x:c r="G9" s="62" t="str">
        <x:v>Sieć detaliczna/omnichannel</x:v>
      </x:c>
      <x:c r="H9" s="62" t="str">
        <x:v>Zachodniopomorskie</x:v>
      </x:c>
      <x:c r="I9" s="62" t="str">
        <x:v>Koszalin</x:v>
      </x:c>
      <x:c r="J9" s="62" t="str">
        <x:v>Duży</x:v>
      </x:c>
      <x:c r="K9" s="62" t="str">
        <x:v>zamowienia@bjb.verde.pl</x:v>
      </x:c>
      <x:c r="L9" s="62" t="str">
        <x:v>+48 94 340 49 04</x:v>
      </x:c>
      <x:c r="M9" s="62" t="str">
        <x:v>Dział zamówień</x:v>
      </x:c>
      <x:c r="N9" s="62" t="str">
        <x:v>Dystrybucja regionalna</x:v>
      </x:c>
      <x:c r="O9" s="62" t="str">
        <x:v>http://www.bjb.pl</x:v>
      </x:c>
      <x:c r="P9" s="62" t="str">
        <x:v>ul. Klonowa 1, 75-644 Koszalin</x:v>
      </x:c>
      <x:c r="Q9" s="62" t="str">
        <x:v>6692127776</x:v>
      </x:c>
      <x:c r="R9" s="62" t="str">
        <x:v>0000121182</x:v>
      </x:c>
      <x:c r="S9" s="62" t="str">
        <x:v>Papierosy | Wyroby tytoniowe | FMCG | Tytoń | FMCG</x:v>
      </x:c>
      <x:c r="T9" s="62" t="str">
        <x:f>IF(AND(K9&lt;&gt;"",L9&lt;&gt;"",O9&lt;&gt;""),"Pełny",IF(OR(K9&lt;&gt;"",L9&lt;&gt;""),"Częściowy","Brak bezpośredniego kontaktu"))</x:f>
        <x:v>Pełny</x:v>
      </x:c>
      <x:c r="U9" s="62" t="str">
        <x:v>Nowy</x:v>
      </x:c>
      <x:c r="V9" s="62" t="str">
        <x:v>BILLS — hurt@bills.pl</x:v>
      </x:c>
      <x:c r="W9" s="62" t="str">
        <x:v>Telefon do działu zakupów + personalizowany e-mail tego samego dnia</x:v>
      </x:c>
      <x:c r="X9" s="81" t="n">
        <x:f>IF(C9&gt;=82,'Model scoringu'!$B$4,IF(C9&gt;=72,'Model scoringu'!$B$5,IF(C9&gt;=58,'Model scoringu'!$B$6,"")))</x:f>
        <x:v>46223</x:v>
      </x:c>
      <x:c r="Y9" s="62" t="str">
        <x:v>Bezpośrednie dopasowanie do ryo/myo, gilz lub nabijarek.</x:v>
      </x:c>
      <x:c r="Z9" s="62" t="str">
        <x:v>https://www.pkt.pl/firma/bjb-phu-hurtownia-papierosow-i-artykulow-spozywczych-348779 | http://www.bjb.pl</x:v>
      </x:c>
      <x:c r="AA9" s="62" t="str">
        <x:v>Dystrybutor wyrobów tytoniowych z kilkoma oddziałami i zasięgiem północno-zachodnim. | Potencjalnie duży zasięg północno-zachodni; potwierdzić aktualny asortyment RYO/MYO. | Status źródłowy: Do weryfikacji — rejestry i katalogi</x:v>
      </x:c>
      <x:c r="AB9" s="50" t="n">
        <x:v>30</x:v>
      </x:c>
      <x:c r="AC9" s="50" t="n">
        <x:v>13</x:v>
      </x:c>
      <x:c r="AD9" s="50" t="n">
        <x:v>15</x:v>
      </x:c>
      <x:c r="AE9" s="50" t="n">
        <x:v>15</x:v>
      </x:c>
      <x:c r="AF9" s="50" t="n">
        <x:v>10</x:v>
      </x:c>
      <x:c r="AG9" s="50" t="n">
        <x:v>10</x:v>
      </x:c>
      <x:c r="AH9" s="57" t="n">
        <x:v>0</x:v>
      </x:c>
    </x:row>
    <x:row r="10" ht="34" customHeight="1">
      <x:c r="A10" s="87" t="n">
        <x:v>8</x:v>
      </x:c>
      <x:c r="B10" s="88" t="str">
        <x:f>IF(C10&gt;=82,"A"&amp;1&amp;" — kontakt natychmiast",IF(C10&gt;=72,"A"&amp;2&amp;" — kontakt w 7 dni",IF(C10&gt;=58,"B — kampania regionalna",IF(C10&gt;=42,"C — weryfikacja i nurturing","D — niski priorytet/wykluczyć"))))</x:f>
        <x:v>A1 — kontakt natychmiast</x:v>
      </x:c>
      <x:c r="C10" s="88" t="n">
        <x:f>MAX(0,MIN(100,SUM(AB10:AG10)-AH10))</x:f>
        <x:v>91</x:v>
      </x:c>
      <x:c r="D10" s="62" t="str">
        <x:v>West Trading</x:v>
      </x:c>
      <x:c r="E10" s="62" t="str">
        <x:v>Potencjalny reseller / odbiorca hurtowy</x:v>
      </x:c>
      <x:c r="F10" s="62" t="str">
        <x:v>S1 — RYO/MYO, gilzy i nabijarki</x:v>
      </x:c>
      <x:c r="G10" s="62" t="str">
        <x:v>Hurt B2B + detal</x:v>
      </x:c>
      <x:c r="H10" s="62" t="str">
        <x:v>Zachodniopomorskie</x:v>
      </x:c>
      <x:c r="I10" s="62" t="str">
        <x:v>Szczecin</x:v>
      </x:c>
      <x:c r="J10" s="62" t="str">
        <x:v>Średni</x:v>
      </x:c>
      <x:c r="K10" s="62" t="str">
        <x:v>zamowienia.szczecin@westtrading.pl; zamowienia.swinoujscie@westtrading.pl</x:v>
      </x:c>
      <x:c r="L10" s="62" t="str">
        <x:v>+48 515 739 764; +48 91 460 00 34; +48 695 870 780</x:v>
      </x:c>
      <x:c r="M10" s="62" t="str">
        <x:v>Dział zamówień / współpracy B2B</x:v>
      </x:c>
      <x:c r="N10" s="62" t="str">
        <x:v>Dział handlowy</x:v>
      </x:c>
      <x:c r="O10" s="62" t="str">
        <x:v>https://westtrading.pl</x:v>
      </x:c>
      <x:c r="P10" s="62" t="str">
        <x:v>Limonkowa 1, 70-001 Ustowo (Szczecin)</x:v>
      </x:c>
      <x:c r="Q10" s="62" t="str"/>
      <x:c r="R10" s="62" t="str"/>
      <x:c r="S10" s="62" t="str">
        <x:v>Akcesoria Tytoniowe | FMCG | Nabijarki &amp; Zwijarki | Papierosy | Tytoń | Vape &amp; E-papierosy | Hurt | Sklep Tytoniowy</x:v>
      </x:c>
      <x:c r="T10" s="62" t="str">
        <x:f>IF(AND(K10&lt;&gt;"",L10&lt;&gt;"",O10&lt;&gt;""),"Pełny",IF(OR(K10&lt;&gt;"",L10&lt;&gt;""),"Częściowy","Brak bezpośredniego kontaktu"))</x:f>
        <x:v>Pełny</x:v>
      </x:c>
      <x:c r="U10" s="62" t="str">
        <x:v>Nowy</x:v>
      </x:c>
      <x:c r="V10" s="62" t="str">
        <x:v>BILLS — hurt@bills.pl</x:v>
      </x:c>
      <x:c r="W10" s="62" t="str">
        <x:v>Telefon do działu zakupów + personalizowany e-mail tego samego dnia</x:v>
      </x:c>
      <x:c r="X10" s="81" t="n">
        <x:f>IF(C10&gt;=82,'Model scoringu'!$B$4,IF(C10&gt;=72,'Model scoringu'!$B$5,IF(C10&gt;=58,'Model scoringu'!$B$6,"")))</x:f>
        <x:v>46223</x:v>
      </x:c>
      <x:c r="Y10" s="62" t="str">
        <x:v>Bezpośrednie dopasowanie do ryo/myo, gilz lub nabijarek.</x:v>
      </x:c>
      <x:c r="Z10" s="62" t="str">
        <x:v>https://westtrading.pl/kontakt/ | https://westtrading.pl</x:v>
      </x:c>
      <x:c r="AA10" s="62" t="str">
        <x:v>Dystrybucja wyrobów tytoniowych i akcesoriów; dostawy do punktów detalicznych. | TAK | Status źródłowy: Niezweryfikowany</x:v>
      </x:c>
      <x:c r="AB10" s="50" t="n">
        <x:v>30</x:v>
      </x:c>
      <x:c r="AC10" s="50" t="n">
        <x:v>15</x:v>
      </x:c>
      <x:c r="AD10" s="50" t="n">
        <x:v>11</x:v>
      </x:c>
      <x:c r="AE10" s="50" t="n">
        <x:v>15</x:v>
      </x:c>
      <x:c r="AF10" s="50" t="n">
        <x:v>10</x:v>
      </x:c>
      <x:c r="AG10" s="50" t="n">
        <x:v>10</x:v>
      </x:c>
      <x:c r="AH10" s="57" t="n">
        <x:v>0</x:v>
      </x:c>
    </x:row>
    <x:row r="11" ht="34" customHeight="1">
      <x:c r="A11" s="87" t="n">
        <x:v>9</x:v>
      </x:c>
      <x:c r="B11" s="88" t="str">
        <x:f>IF(C11&gt;=82,"A"&amp;1&amp;" — kontakt natychmiast",IF(C11&gt;=72,"A"&amp;2&amp;" — kontakt w 7 dni",IF(C11&gt;=58,"B — kampania regionalna",IF(C11&gt;=42,"C — weryfikacja i nurturing","D — niski priorytet/wykluczyć"))))</x:f>
        <x:v>A1 — kontakt natychmiast</x:v>
      </x:c>
      <x:c r="C11" s="88" t="n">
        <x:f>MAX(0,MIN(100,SUM(AB11:AG11)-AH11))</x:f>
        <x:v>91</x:v>
      </x:c>
      <x:c r="D11" s="62" t="str">
        <x:v>Prosmoker Jarosław Szulc</x:v>
      </x:c>
      <x:c r="E11" s="62" t="str">
        <x:v>Potencjalny reseller / odbiorca hurtowy</x:v>
      </x:c>
      <x:c r="F11" s="62" t="str">
        <x:v>S1 — RYO/MYO, gilzy i nabijarki</x:v>
      </x:c>
      <x:c r="G11" s="62" t="str">
        <x:v>Hurt B2B + detal</x:v>
      </x:c>
      <x:c r="H11" s="62" t="str">
        <x:v>Mazowieckie</x:v>
      </x:c>
      <x:c r="I11" s="62" t="str">
        <x:v>Warszawa</x:v>
      </x:c>
      <x:c r="J11" s="62" t="str">
        <x:v>Średni</x:v>
      </x:c>
      <x:c r="K11" s="62" t="str">
        <x:v>prosmokerhurt@gmail.com</x:v>
      </x:c>
      <x:c r="L11" s="62" t="str">
        <x:v>+48 507 208 897; +48 690 328 062</x:v>
      </x:c>
      <x:c r="M11" s="62" t="str"/>
      <x:c r="N11" s="62" t="str"/>
      <x:c r="O11" s="62" t="str">
        <x:v>https://www.prosmoker.pl/</x:v>
      </x:c>
      <x:c r="P11" s="62" t="str">
        <x:v>ul. Korkowa 167/204, 04-549 Warszawa</x:v>
      </x:c>
      <x:c r="Q11" s="62" t="str">
        <x:v>1132559176</x:v>
      </x:c>
      <x:c r="R11" s="62" t="str"/>
      <x:c r="S11" s="62" t="str">
        <x:v>Vape &amp; E-papierosy | Liquidy | Akcesoria do e-papierosów | Vape | Akcesoria</x:v>
      </x:c>
      <x:c r="T11" s="62" t="str">
        <x:f>IF(AND(K11&lt;&gt;"",L11&lt;&gt;"",O11&lt;&gt;""),"Pełny",IF(OR(K11&lt;&gt;"",L11&lt;&gt;""),"Częściowy","Brak bezpośredniego kontaktu"))</x:f>
        <x:v>Pełny</x:v>
      </x:c>
      <x:c r="U11" s="62" t="str">
        <x:v>Nowy</x:v>
      </x:c>
      <x:c r="V11" s="62" t="str">
        <x:v>BILLS — hurt@bills.pl</x:v>
      </x:c>
      <x:c r="W11" s="62" t="str">
        <x:v>Telefon do działu zakupów + personalizowany e-mail tego samego dnia</x:v>
      </x:c>
      <x:c r="X11" s="81" t="n">
        <x:f>IF(C11&gt;=82,'Model scoringu'!$B$4,IF(C11&gt;=72,'Model scoringu'!$B$5,IF(C11&gt;=58,'Model scoringu'!$B$6,"")))</x:f>
        <x:v>46223</x:v>
      </x:c>
      <x:c r="Y11" s="62" t="str">
        <x:v>Bezpośrednie dopasowanie do ryo/myo, gilz lub nabijarek.</x:v>
      </x:c>
      <x:c r="Z11" s="62" t="str">
        <x:v>https://www.prosmoker.pl/</x:v>
      </x:c>
      <x:c r="AA11" s="62" t="str">
        <x:v>Dobry lead cross-category: istniejąca baza klientów vape może kupować akcesoria RYO/MYO. | Status źródłowy: Zweryfikowany — aktywna strona</x:v>
      </x:c>
      <x:c r="AB11" s="50" t="n">
        <x:v>30</x:v>
      </x:c>
      <x:c r="AC11" s="50" t="n">
        <x:v>15</x:v>
      </x:c>
      <x:c r="AD11" s="50" t="n">
        <x:v>11</x:v>
      </x:c>
      <x:c r="AE11" s="50" t="n">
        <x:v>15</x:v>
      </x:c>
      <x:c r="AF11" s="50" t="n">
        <x:v>10</x:v>
      </x:c>
      <x:c r="AG11" s="50" t="n">
        <x:v>10</x:v>
      </x:c>
      <x:c r="AH11" s="57" t="n">
        <x:v>0</x:v>
      </x:c>
    </x:row>
    <x:row r="12" ht="34" customHeight="1">
      <x:c r="A12" s="87" t="n">
        <x:v>10</x:v>
      </x:c>
      <x:c r="B12" s="88" t="str">
        <x:f>IF(C12&gt;=82,"A"&amp;1&amp;" — kontakt natychmiast",IF(C12&gt;=72,"A"&amp;2&amp;" — kontakt w 7 dni",IF(C12&gt;=58,"B — kampania regionalna",IF(C12&gt;=42,"C — weryfikacja i nurturing","D — niski priorytet/wykluczyć"))))</x:f>
        <x:v>A1 — kontakt natychmiast</x:v>
      </x:c>
      <x:c r="C12" s="88" t="n">
        <x:f>MAX(0,MIN(100,SUM(AB12:AG12)-AH12))</x:f>
        <x:v>91</x:v>
      </x:c>
      <x:c r="D12" s="62" t="str">
        <x:v>BATEK Violoncellista Beata</x:v>
      </x:c>
      <x:c r="E12" s="62" t="str">
        <x:v>Potencjalny reseller / odbiorca hurtowy</x:v>
      </x:c>
      <x:c r="F12" s="62" t="str">
        <x:v>S1 — RYO/MYO, gilzy i nabijarki</x:v>
      </x:c>
      <x:c r="G12" s="62" t="str">
        <x:v>Hurt B2B regionalny</x:v>
      </x:c>
      <x:c r="H12" s="62" t="str">
        <x:v>Mazowieckie</x:v>
      </x:c>
      <x:c r="I12" s="62" t="str">
        <x:v>Legionowo</x:v>
      </x:c>
      <x:c r="J12" s="62" t="str">
        <x:v>Średni</x:v>
      </x:c>
      <x:c r="K12" s="62" t="str">
        <x:v>batek@batek.pl</x:v>
      </x:c>
      <x:c r="L12" s="62" t="str">
        <x:v>+48 695 020 633; +48 22 732 25 11</x:v>
      </x:c>
      <x:c r="M12" s="62" t="str">
        <x:v>Beata Violoncellista / Właścicielka</x:v>
      </x:c>
      <x:c r="N12" s="62" t="str"/>
      <x:c r="O12" s="62" t="str">
        <x:v>https://batek.pl/</x:v>
      </x:c>
      <x:c r="P12" s="62" t="str">
        <x:v>ul. Obrońców Lwowa 6, 05-119 Legionowo</x:v>
      </x:c>
      <x:c r="Q12" s="62" t="str">
        <x:v>5270159026</x:v>
      </x:c>
      <x:c r="R12" s="62" t="str"/>
      <x:c r="S12" s="62" t="str">
        <x:v>Zapalniczki | Papierośnice | Akcesoria dla palaczy | Akcesoria | Tytoń</x:v>
      </x:c>
      <x:c r="T12" s="62" t="str">
        <x:f>IF(AND(K12&lt;&gt;"",L12&lt;&gt;"",O12&lt;&gt;""),"Pełny",IF(OR(K12&lt;&gt;"",L12&lt;&gt;""),"Częściowy","Brak bezpośredniego kontaktu"))</x:f>
        <x:v>Pełny</x:v>
      </x:c>
      <x:c r="U12" s="62" t="str">
        <x:v>Nowy</x:v>
      </x:c>
      <x:c r="V12" s="62" t="str">
        <x:v>BILLS — hurt@bills.pl</x:v>
      </x:c>
      <x:c r="W12" s="62" t="str">
        <x:v>Telefon do działu zakupów + personalizowany e-mail tego samego dnia</x:v>
      </x:c>
      <x:c r="X12" s="81" t="n">
        <x:f>IF(C12&gt;=82,'Model scoringu'!$B$4,IF(C12&gt;=72,'Model scoringu'!$B$5,IF(C12&gt;=58,'Model scoringu'!$B$6,"")))</x:f>
        <x:v>46223</x:v>
      </x:c>
      <x:c r="Y12" s="62" t="str">
        <x:v>Bezpośrednie dopasowanie do ryo/myo, gilz lub nabijarek.</x:v>
      </x:c>
      <x:c r="Z12" s="62" t="str">
        <x:v>https://batek.pl/</x:v>
      </x:c>
      <x:c r="AA12" s="62" t="str">
        <x:v>Dobrze dopasowany importer akcesoriów dla palaczy; nie jest rdzeniowym graczem RYO. | Status źródłowy: Zweryfikowany — aktywna strona</x:v>
      </x:c>
      <x:c r="AB12" s="50" t="n">
        <x:v>30</x:v>
      </x:c>
      <x:c r="AC12" s="50" t="n">
        <x:v>15</x:v>
      </x:c>
      <x:c r="AD12" s="50" t="n">
        <x:v>11</x:v>
      </x:c>
      <x:c r="AE12" s="50" t="n">
        <x:v>15</x:v>
      </x:c>
      <x:c r="AF12" s="50" t="n">
        <x:v>10</x:v>
      </x:c>
      <x:c r="AG12" s="50" t="n">
        <x:v>10</x:v>
      </x:c>
      <x:c r="AH12" s="57" t="n">
        <x:v>0</x:v>
      </x:c>
    </x:row>
    <x:row r="13" ht="34" customHeight="1">
      <x:c r="A13" s="87" t="n">
        <x:v>11</x:v>
      </x:c>
      <x:c r="B13" s="88" t="str">
        <x:f>IF(C13&gt;=82,"A"&amp;1&amp;" — kontakt natychmiast",IF(C13&gt;=72,"A"&amp;2&amp;" — kontakt w 7 dni",IF(C13&gt;=58,"B — kampania regionalna",IF(C13&gt;=42,"C — weryfikacja i nurturing","D — niski priorytet/wykluczyć"))))</x:f>
        <x:v>A1 — kontakt natychmiast</x:v>
      </x:c>
      <x:c r="C13" s="88" t="n">
        <x:f>MAX(0,MIN(100,SUM(AB13:AG13)-AH13))</x:f>
        <x:v>90</x:v>
      </x:c>
      <x:c r="D13" s="62" t="str">
        <x:v>Lima S.A.</x:v>
      </x:c>
      <x:c r="E13" s="62" t="str">
        <x:v>Potencjalny reseller / odbiorca hurtowy</x:v>
      </x:c>
      <x:c r="F13" s="62" t="str">
        <x:v>S2 — Hurtownie tytoniowe/FMCG</x:v>
      </x:c>
      <x:c r="G13" s="62" t="str">
        <x:v>Hurt ogólnopolski</x:v>
      </x:c>
      <x:c r="H13" s="62" t="str">
        <x:v>Mazowieckie</x:v>
      </x:c>
      <x:c r="I13" s="62" t="str">
        <x:v>Nationwide (Hq Warsaw, Branches Białystok, Jelenia Góra, Wrocław, Bydgoszcz, Lublin, Gorzów Wielkopolski (Marcinkowskiego 14E, Łódź, Kraków, Warsaw, Opole, Rzeszów, Białystok, Gdańsk, Katowice, Kielce, Olsztyn, Poznań, Koszalin</x:v>
      </x:c>
      <x:c r="J13" s="62" t="str">
        <x:v>Duży</x:v>
      </x:c>
      <x:c r="K13" s="62" t="str">
        <x:v>hurtownia@lima-warszawa.com</x:v>
      </x:c>
      <x:c r="L13" s="62" t="str">
        <x:v>+48 606 689 456; +48 574 666 624</x:v>
      </x:c>
      <x:c r="M13" s="62" t="str">
        <x:v>Dział hurtowni</x:v>
      </x:c>
      <x:c r="N13" s="62" t="str">
        <x:v>Sprzedaż hurtowa</x:v>
      </x:c>
      <x:c r="O13" s="62" t="str">
        <x:v>https://lima-sa.pl</x:v>
      </x:c>
      <x:c r="P13" s="62" t="str">
        <x:v>ul. Leonidasa 55/215 oraz ul. Deszczowa 2, Warszawa</x:v>
      </x:c>
      <x:c r="Q13" s="62" t="str"/>
      <x:c r="R13" s="62" t="str"/>
      <x:c r="S13" s="62" t="str">
        <x:v>FMCG | Papierosy | Tytoń | Hurt | Sklep Tytoniowy</x:v>
      </x:c>
      <x:c r="T13" s="62" t="str">
        <x:f>IF(AND(K13&lt;&gt;"",L13&lt;&gt;"",O13&lt;&gt;""),"Pełny",IF(OR(K13&lt;&gt;"",L13&lt;&gt;""),"Częściowy","Brak bezpośredniego kontaktu"))</x:f>
        <x:v>Pełny</x:v>
      </x:c>
      <x:c r="U13" s="62" t="str">
        <x:v>Nowy</x:v>
      </x:c>
      <x:c r="V13" s="62" t="str">
        <x:v>BILLS — hurt@bills.pl</x:v>
      </x:c>
      <x:c r="W13" s="62" t="str">
        <x:v>Telefon do działu zakupów + personalizowany e-mail tego samego dnia</x:v>
      </x:c>
      <x:c r="X13" s="81" t="n">
        <x:f>IF(C13&gt;=82,'Model scoringu'!$B$4,IF(C13&gt;=72,'Model scoringu'!$B$5,IF(C13&gt;=58,'Model scoringu'!$B$6,"")))</x:f>
        <x:v>46223</x:v>
      </x:c>
      <x:c r="Y13" s="62" t="str">
        <x:v>Dostęp do sklepów tytoniowych i tradycyjnego handlu; zasięg ponadregionalny.</x:v>
      </x:c>
      <x:c r="Z13" s="62" t="str">
        <x:v>https://lima-warszawa.com/pl/page/kontakt | https://lima-sa.pl</x:v>
      </x:c>
      <x:c r="AA13" s="62" t="str">
        <x:v>Nie potwierdzone | Status źródłowy: Niezweryfikowany</x:v>
      </x:c>
      <x:c r="AB13" s="50" t="n">
        <x:v>22</x:v>
      </x:c>
      <x:c r="AC13" s="50" t="n">
        <x:v>18</x:v>
      </x:c>
      <x:c r="AD13" s="50" t="n">
        <x:v>15</x:v>
      </x:c>
      <x:c r="AE13" s="50" t="n">
        <x:v>15</x:v>
      </x:c>
      <x:c r="AF13" s="50" t="n">
        <x:v>10</x:v>
      </x:c>
      <x:c r="AG13" s="50" t="n">
        <x:v>10</x:v>
      </x:c>
      <x:c r="AH13" s="57" t="n">
        <x:v>0</x:v>
      </x:c>
    </x:row>
    <x:row r="14" ht="34" customHeight="1">
      <x:c r="A14" s="87" t="n">
        <x:v>12</x:v>
      </x:c>
      <x:c r="B14" s="88" t="str">
        <x:f>IF(C14&gt;=82,"A"&amp;1&amp;" — kontakt natychmiast",IF(C14&gt;=72,"A"&amp;2&amp;" — kontakt w 7 dni",IF(C14&gt;=58,"B — kampania regionalna",IF(C14&gt;=42,"C — weryfikacja i nurturing","D — niski priorytet/wykluczyć"))))</x:f>
        <x:v>A1 — kontakt natychmiast</x:v>
      </x:c>
      <x:c r="C14" s="88" t="n">
        <x:f>MAX(0,MIN(100,SUM(AB14:AG14)-AH14))</x:f>
        <x:v>89</x:v>
      </x:c>
      <x:c r="D14" s="62" t="str">
        <x:v>Pavolt.pl</x:v>
      </x:c>
      <x:c r="E14" s="62" t="str">
        <x:v>Potencjalny reseller / odbiorca hurtowy</x:v>
      </x:c>
      <x:c r="F14" s="62" t="str">
        <x:v>S1 — RYO/MYO, gilzy i nabijarki</x:v>
      </x:c>
      <x:c r="G14" s="62" t="str">
        <x:v>Hurt ogólnopolski</x:v>
      </x:c>
      <x:c r="H14" s="62" t="str">
        <x:v>Śląskie</x:v>
      </x:c>
      <x:c r="I14" s="62" t="str">
        <x:v>Ogólnopolska</x:v>
      </x:c>
      <x:c r="J14" s="62" t="str">
        <x:v>Średni</x:v>
      </x:c>
      <x:c r="K14" s="62" t="str">
        <x:v>sklep@pavolt.pl</x:v>
      </x:c>
      <x:c r="L14" s="62" t="str">
        <x:v>+48 735 222 777</x:v>
      </x:c>
      <x:c r="M14" s="62" t="str">
        <x:v>Właściciel / dział sprzedaży</x:v>
      </x:c>
      <x:c r="N14" s="62" t="str">
        <x:v>Sprzedaż internetowa</x:v>
      </x:c>
      <x:c r="O14" s="62" t="str">
        <x:v>https://pavolt.pl/nabijarki-c-...</x:v>
      </x:c>
      <x:c r="P14" s="62" t="str">
        <x:v>Główna 8, 42-256 Zrębice</x:v>
      </x:c>
      <x:c r="Q14" s="62" t="str"/>
      <x:c r="R14" s="62" t="str"/>
      <x:c r="S14" s="62" t="str">
        <x:v>Nabijarki &amp; Zwijarki | Hurt | Sklep Tytoniowy</x:v>
      </x:c>
      <x:c r="T14" s="62" t="str">
        <x:f>IF(AND(K14&lt;&gt;"",L14&lt;&gt;"",O14&lt;&gt;""),"Pełny",IF(OR(K14&lt;&gt;"",L14&lt;&gt;""),"Częściowy","Brak bezpośredniego kontaktu"))</x:f>
        <x:v>Pełny</x:v>
      </x:c>
      <x:c r="U14" s="62" t="str">
        <x:v>Nowy</x:v>
      </x:c>
      <x:c r="V14" s="62" t="str">
        <x:v>BILLS — hurt@bills.pl</x:v>
      </x:c>
      <x:c r="W14" s="62" t="str">
        <x:v>Telefon do działu zakupów + personalizowany e-mail tego samego dnia</x:v>
      </x:c>
      <x:c r="X14" s="81" t="n">
        <x:f>IF(C14&gt;=82,'Model scoringu'!$B$4,IF(C14&gt;=72,'Model scoringu'!$B$5,IF(C14&gt;=58,'Model scoringu'!$B$6,"")))</x:f>
        <x:v>46223</x:v>
      </x:c>
      <x:c r="Y14" s="62" t="str">
        <x:v>Bezpośrednie dopasowanie do ryo/myo, gilz lub nabijarek; zasięg ponadregionalny.</x:v>
      </x:c>
      <x:c r="Z14" s="62" t="str">
        <x:v>https://pavolt.pl/kontakt-f-1.html | https://pavolt.pl/nabijarki-c-...</x:v>
      </x:c>
      <x:c r="AA14" s="62" t="str">
        <x:v>TAK | Status źródłowy: Niezweryfikowany</x:v>
      </x:c>
      <x:c r="AB14" s="50" t="n">
        <x:v>30</x:v>
      </x:c>
      <x:c r="AC14" s="50" t="n">
        <x:v>18</x:v>
      </x:c>
      <x:c r="AD14" s="50" t="n">
        <x:v>11</x:v>
      </x:c>
      <x:c r="AE14" s="50" t="n">
        <x:v>15</x:v>
      </x:c>
      <x:c r="AF14" s="50" t="n">
        <x:v>10</x:v>
      </x:c>
      <x:c r="AG14" s="50" t="n">
        <x:v>10</x:v>
      </x:c>
      <x:c r="AH14" s="57" t="n">
        <x:v>5</x:v>
      </x:c>
    </x:row>
    <x:row r="15" ht="34" customHeight="1">
      <x:c r="A15" s="87" t="n">
        <x:v>13</x:v>
      </x:c>
      <x:c r="B15" s="88" t="str">
        <x:f>IF(C15&gt;=82,"A"&amp;1&amp;" — kontakt natychmiast",IF(C15&gt;=72,"A"&amp;2&amp;" — kontakt w 7 dni",IF(C15&gt;=58,"B — kampania regionalna",IF(C15&gt;=42,"C — weryfikacja i nurturing","D — niski priorytet/wykluczyć"))))</x:f>
        <x:v>A1 — kontakt natychmiast</x:v>
      </x:c>
      <x:c r="C15" s="88" t="n">
        <x:f>MAX(0,MIN(100,SUM(AB15:AG15)-AH15))</x:f>
        <x:v>89</x:v>
      </x:c>
      <x:c r="D15" s="62" t="str">
        <x:v>CK Complex</x:v>
      </x:c>
      <x:c r="E15" s="62" t="str">
        <x:v>Potencjalny reseller / odbiorca hurtowy</x:v>
      </x:c>
      <x:c r="F15" s="62" t="str">
        <x:v>S1 — RYO/MYO, gilzy i nabijarki</x:v>
      </x:c>
      <x:c r="G15" s="62" t="str">
        <x:v>Hurt ogólnopolski</x:v>
      </x:c>
      <x:c r="H15" s="62" t="str">
        <x:v>Lubuskie</x:v>
      </x:c>
      <x:c r="I15" s="62" t="str"/>
      <x:c r="J15" s="62" t="str">
        <x:v>Duża</x:v>
      </x:c>
      <x:c r="K15" s="62" t="str">
        <x:v>monika.wachel@ckcomplex.pl; b2b@ckcomplex.pl</x:v>
      </x:c>
      <x:c r="L15" s="62" t="str">
        <x:v>+48 511 881 411; +48 515 377 435</x:v>
      </x:c>
      <x:c r="M15" s="62" t="str">
        <x:v>Monika Wachel</x:v>
      </x:c>
      <x:c r="N15" s="62" t="str">
        <x:v>Dyrektor ds. sprzedaży hurtowej</x:v>
      </x:c>
      <x:c r="O15" s="62" t="str">
        <x:v>https://ckcomplex.pl</x:v>
      </x:c>
      <x:c r="P15" s="62" t="str">
        <x:v>ul. Naftowa 4, 65-705 Zielona Góra</x:v>
      </x:c>
      <x:c r="Q15" s="62" t="str">
        <x:v>9291744080</x:v>
      </x:c>
      <x:c r="R15" s="62" t="str"/>
      <x:c r="S15" s="62" t="str">
        <x:v>Akcesoria Tytoniowe | Bibułki &amp; Bletki | FMCG | Gilzy &amp; Filtry | Nabijarki &amp; Zwijarki</x:v>
      </x:c>
      <x:c r="T15" s="62" t="str">
        <x:f>IF(AND(K15&lt;&gt;"",L15&lt;&gt;"",O15&lt;&gt;""),"Pełny",IF(OR(K15&lt;&gt;"",L15&lt;&gt;""),"Częściowy","Brak bezpośredniego kontaktu"))</x:f>
        <x:v>Pełny</x:v>
      </x:c>
      <x:c r="U15" s="62" t="str">
        <x:v>Nowy</x:v>
      </x:c>
      <x:c r="V15" s="62" t="str">
        <x:v>BILLS — hurt@bills.pl</x:v>
      </x:c>
      <x:c r="W15" s="62" t="str">
        <x:v>Telefon do działu zakupów + personalizowany e-mail tego samego dnia</x:v>
      </x:c>
      <x:c r="X15" s="81" t="n">
        <x:f>IF(C15&gt;=82,'Model scoringu'!$B$4,IF(C15&gt;=72,'Model scoringu'!$B$5,IF(C15&gt;=58,'Model scoringu'!$B$6,"")))</x:f>
        <x:v>46223</x:v>
      </x:c>
      <x:c r="Y15" s="62" t="str">
        <x:v>Bezpośrednie dopasowanie do ryo/myo, gilz lub nabijarek; zasięg ponadregionalny.</x:v>
      </x:c>
      <x:c r="Z15" s="62" t="str">
        <x:v>https://ckcomplex.pl/kontakt/ | https://b2b.ckcomplex.pl/ | https://ckcomplex.pl</x:v>
      </x:c>
      <x:c r="AA15" s="62" t="str">
        <x:v>B2B FMCG wholesaler that distributes various tobacco accessories including manual and piston rolling machines (nabijarki).</x:v>
      </x:c>
      <x:c r="AB15" s="50" t="n">
        <x:v>30</x:v>
      </x:c>
      <x:c r="AC15" s="50" t="n">
        <x:v>18</x:v>
      </x:c>
      <x:c r="AD15" s="50" t="n">
        <x:v>7</x:v>
      </x:c>
      <x:c r="AE15" s="50" t="n">
        <x:v>15</x:v>
      </x:c>
      <x:c r="AF15" s="50" t="n">
        <x:v>10</x:v>
      </x:c>
      <x:c r="AG15" s="50" t="n">
        <x:v>9</x:v>
      </x:c>
      <x:c r="AH15" s="57" t="n">
        <x:v>0</x:v>
      </x:c>
    </x:row>
    <x:row r="16" ht="34" customHeight="1">
      <x:c r="A16" s="87" t="n">
        <x:v>14</x:v>
      </x:c>
      <x:c r="B16" s="88" t="str">
        <x:f>IF(C16&gt;=82,"A"&amp;1&amp;" — kontakt natychmiast",IF(C16&gt;=72,"A"&amp;2&amp;" — kontakt w 7 dni",IF(C16&gt;=58,"B — kampania regionalna",IF(C16&gt;=42,"C — weryfikacja i nurturing","D — niski priorytet/wykluczyć"))))</x:f>
        <x:v>A1 — kontakt natychmiast</x:v>
      </x:c>
      <x:c r="C16" s="88" t="n">
        <x:f>MAX(0,MIN(100,SUM(AB16:AG16)-AH16))</x:f>
        <x:v>88</x:v>
      </x:c>
      <x:c r="D16" s="62" t="str">
        <x:v>IGNIS COMPANY Sp. z o.o. / IGNIS Tobacco</x:v>
      </x:c>
      <x:c r="E16" s="62" t="str">
        <x:v>Partner strategiczny / możliwy konflikt produktowy</x:v>
      </x:c>
      <x:c r="F16" s="62" t="str">
        <x:v>S1 — RYO/MYO, gilzy i nabijarki</x:v>
      </x:c>
      <x:c r="G16" s="62" t="str">
        <x:v>Producent/importer/dystrybutor</x:v>
      </x:c>
      <x:c r="H16" s="62" t="str">
        <x:v>Mazowieckie</x:v>
      </x:c>
      <x:c r="I16" s="62" t="str">
        <x:v>Warszawa</x:v>
      </x:c>
      <x:c r="J16" s="62" t="str">
        <x:v>Średni</x:v>
      </x:c>
      <x:c r="K16" s="62" t="str">
        <x:v>sekretariat@eignis.pl; zamowienia@eignis.pl</x:v>
      </x:c>
      <x:c r="L16" s="62" t="str">
        <x:v>+48 44 777 00 30; +48 601 373 745</x:v>
      </x:c>
      <x:c r="M16" s="62" t="str">
        <x:v>Łukasz Maciejczyk / CEO / właściciel | Justyna Maciejczyk / CEO / zamówienia</x:v>
      </x:c>
      <x:c r="N16" s="62" t="str"/>
      <x:c r="O16" s="62" t="str">
        <x:v>https://ignistobacco.pl/</x:v>
      </x:c>
      <x:c r="P16" s="62" t="str">
        <x:v>ul. Szamocka 10C/128, 01-748 Warszawa</x:v>
      </x:c>
      <x:c r="Q16" s="62" t="str">
        <x:v>5252995077</x:v>
      </x:c>
      <x:c r="R16" s="62" t="str"/>
      <x:c r="S16" s="62" t="str">
        <x:v>Gilzy papierosowe | Filtry | Akcesoria Tytoniowe | IGNIS | Tytoń | Akcesoria | RYO/MYO</x:v>
      </x:c>
      <x:c r="T16" s="62" t="str">
        <x:f>IF(AND(K16&lt;&gt;"",L16&lt;&gt;"",O16&lt;&gt;""),"Pełny",IF(OR(K16&lt;&gt;"",L16&lt;&gt;""),"Częściowy","Brak bezpośredniego kontaktu"))</x:f>
        <x:v>Pełny</x:v>
      </x:c>
      <x:c r="U16" s="62" t="str">
        <x:v>Nowy</x:v>
      </x:c>
      <x:c r="V16" s="62" t="str">
        <x:v>BILLS — hurt@bills.pl</x:v>
      </x:c>
      <x:c r="W16" s="62" t="str">
        <x:v>Rozmowa strategiczna z dyrektorem handlowym; bez standardowego cold maila</x:v>
      </x:c>
      <x:c r="X16" s="81" t="n">
        <x:f>IF(C16&gt;=82,'Model scoringu'!$B$4,IF(C16&gt;=72,'Model scoringu'!$B$5,IF(C16&gt;=58,'Model scoringu'!$B$6,"")))</x:f>
        <x:v>46223</x:v>
      </x:c>
      <x:c r="Y16" s="62" t="str">
        <x:v>Bezpośrednie dopasowanie do ryo/myo, gilz lub nabijarek; kompetencje importowo-dystrybucyjne; wymaga rozmowy strategicznej zamiast standardowej oferty.</x:v>
      </x:c>
      <x:c r="Z16" s="62" t="str">
        <x:v>https://ignistobacco.pl/</x:v>
      </x:c>
      <x:c r="AA16" s="62" t="str">
        <x:v>Bezpośrednio komplementarny asortyment; warto sprawdzić konflikt marek i warunki dystrybucji. | Status źródłowy: Zweryfikowany — aktywna strona</x:v>
      </x:c>
      <x:c r="AB16" s="50" t="n">
        <x:v>30</x:v>
      </x:c>
      <x:c r="AC16" s="50" t="n">
        <x:v>20</x:v>
      </x:c>
      <x:c r="AD16" s="50" t="n">
        <x:v>11</x:v>
      </x:c>
      <x:c r="AE16" s="50" t="n">
        <x:v>15</x:v>
      </x:c>
      <x:c r="AF16" s="50" t="n">
        <x:v>10</x:v>
      </x:c>
      <x:c r="AG16" s="50" t="n">
        <x:v>10</x:v>
      </x:c>
      <x:c r="AH16" s="57" t="n">
        <x:v>8</x:v>
      </x:c>
    </x:row>
    <x:row r="17" ht="34" customHeight="1">
      <x:c r="A17" s="87" t="n">
        <x:v>15</x:v>
      </x:c>
      <x:c r="B17" s="88" t="str">
        <x:f>IF(C17&gt;=82,"A"&amp;1&amp;" — kontakt natychmiast",IF(C17&gt;=72,"A"&amp;2&amp;" — kontakt w 7 dni",IF(C17&gt;=58,"B — kampania regionalna",IF(C17&gt;=42,"C — weryfikacja i nurturing","D — niski priorytet/wykluczyć"))))</x:f>
        <x:v>A1 — kontakt natychmiast</x:v>
      </x:c>
      <x:c r="C17" s="88" t="n">
        <x:f>MAX(0,MIN(100,SUM(AB17:AG17)-AH17))</x:f>
        <x:v>88</x:v>
      </x:c>
      <x:c r="D17" s="62" t="str">
        <x:v>Hawana Tabacco / Golden Filter</x:v>
      </x:c>
      <x:c r="E17" s="62" t="str">
        <x:v>Partner strategiczny / możliwy konflikt produktowy</x:v>
      </x:c>
      <x:c r="F17" s="62" t="str">
        <x:v>S1 — RYO/MYO, gilzy i nabijarki</x:v>
      </x:c>
      <x:c r="G17" s="62" t="str">
        <x:v>Producent/importer/dystrybutor</x:v>
      </x:c>
      <x:c r="H17" s="62" t="str">
        <x:v>Dolnośląskie</x:v>
      </x:c>
      <x:c r="I17" s="62" t="str">
        <x:v>Kamienna Góra</x:v>
      </x:c>
      <x:c r="J17" s="62" t="str">
        <x:v>Średni</x:v>
      </x:c>
      <x:c r="K17" s="62" t="str">
        <x:v>hawanatabacco@o2.pl</x:v>
      </x:c>
      <x:c r="L17" s="62" t="str">
        <x:v>+48 75 744 50 34</x:v>
      </x:c>
      <x:c r="M17" s="62" t="str"/>
      <x:c r="N17" s="62" t="str"/>
      <x:c r="O17" s="62" t="str">
        <x:v>https://www.goldenfilter.pl/</x:v>
      </x:c>
      <x:c r="P17" s="62" t="str">
        <x:v>ul. Wałbrzyska 18, 58-400 Kamienna Góra</x:v>
      </x:c>
      <x:c r="Q17" s="62" t="str"/>
      <x:c r="R17" s="62" t="str"/>
      <x:c r="S17" s="62" t="str">
        <x:v>Gilzy papierosowe | Filtry | Bibułki | Akcesoria Tytoniowe | Golden Filter | Tytoń | Akcesoria | RYO/MYO</x:v>
      </x:c>
      <x:c r="T17" s="62" t="str">
        <x:f>IF(AND(K17&lt;&gt;"",L17&lt;&gt;"",O17&lt;&gt;""),"Pełny",IF(OR(K17&lt;&gt;"",L17&lt;&gt;""),"Częściowy","Brak bezpośredniego kontaktu"))</x:f>
        <x:v>Pełny</x:v>
      </x:c>
      <x:c r="U17" s="62" t="str">
        <x:v>Nowy</x:v>
      </x:c>
      <x:c r="V17" s="62" t="str">
        <x:v>BILLS — hurt@bills.pl</x:v>
      </x:c>
      <x:c r="W17" s="62" t="str">
        <x:v>Rozmowa strategiczna z dyrektorem handlowym; bez standardowego cold maila</x:v>
      </x:c>
      <x:c r="X17" s="81" t="n">
        <x:f>IF(C17&gt;=82,'Model scoringu'!$B$4,IF(C17&gt;=72,'Model scoringu'!$B$5,IF(C17&gt;=58,'Model scoringu'!$B$6,"")))</x:f>
        <x:v>46223</x:v>
      </x:c>
      <x:c r="Y17" s="62" t="str">
        <x:v>Bezpośrednie dopasowanie do ryo/myo, gilz lub nabijarek; kompetencje importowo-dystrybucyjne; wymaga rozmowy strategicznej zamiast standardowej oferty.</x:v>
      </x:c>
      <x:c r="Z17" s="62" t="str">
        <x:v>https://www.goldenfilter.pl/</x:v>
      </x:c>
      <x:c r="AA17" s="62" t="str">
        <x:v>Jeden z najlepszych potencjalnych partnerów produktowych dla Powermatic/Hawk-Matic. | Status źródłowy: Zweryfikowany — aktywna strona</x:v>
      </x:c>
      <x:c r="AB17" s="50" t="n">
        <x:v>30</x:v>
      </x:c>
      <x:c r="AC17" s="50" t="n">
        <x:v>20</x:v>
      </x:c>
      <x:c r="AD17" s="50" t="n">
        <x:v>11</x:v>
      </x:c>
      <x:c r="AE17" s="50" t="n">
        <x:v>15</x:v>
      </x:c>
      <x:c r="AF17" s="50" t="n">
        <x:v>10</x:v>
      </x:c>
      <x:c r="AG17" s="50" t="n">
        <x:v>10</x:v>
      </x:c>
      <x:c r="AH17" s="57" t="n">
        <x:v>8</x:v>
      </x:c>
    </x:row>
    <x:row r="18" ht="34" customHeight="1">
      <x:c r="A18" s="87" t="n">
        <x:v>16</x:v>
      </x:c>
      <x:c r="B18" s="88" t="str">
        <x:f>IF(C18&gt;=82,"A"&amp;1&amp;" — kontakt natychmiast",IF(C18&gt;=72,"A"&amp;2&amp;" — kontakt w 7 dni",IF(C18&gt;=58,"B — kampania regionalna",IF(C18&gt;=42,"C — weryfikacja i nurturing","D — niski priorytet/wykluczyć"))))</x:f>
        <x:v>A1 — kontakt natychmiast</x:v>
      </x:c>
      <x:c r="C18" s="88" t="n">
        <x:f>MAX(0,MIN(100,SUM(AB18:AG18)-AH18))</x:f>
        <x:v>88</x:v>
      </x:c>
      <x:c r="D18" s="62" t="str">
        <x:v>Eurus Sp. z o.o. / Clipper Polska</x:v>
      </x:c>
      <x:c r="E18" s="62" t="str">
        <x:v>Partner dystrybucyjny/importer</x:v>
      </x:c>
      <x:c r="F18" s="62" t="str">
        <x:v>S3 — Akcesoria dla palaczy/headshop</x:v>
      </x:c>
      <x:c r="G18" s="62" t="str">
        <x:v>Importer/dystrybutor krajowy</x:v>
      </x:c>
      <x:c r="H18" s="62" t="str">
        <x:v>Podlaskie</x:v>
      </x:c>
      <x:c r="I18" s="62" t="str">
        <x:v>Białystok</x:v>
      </x:c>
      <x:c r="J18" s="62" t="str">
        <x:v>Duży</x:v>
      </x:c>
      <x:c r="K18" s="62" t="str">
        <x:v>sklep@clipperpolska.pl</x:v>
      </x:c>
      <x:c r="L18" s="62" t="str">
        <x:v>+48 798 522 522</x:v>
      </x:c>
      <x:c r="M18" s="62" t="str"/>
      <x:c r="N18" s="62" t="str"/>
      <x:c r="O18" s="62" t="str">
        <x:v>https://www.clipperpolska.pl</x:v>
      </x:c>
      <x:c r="P18" s="62" t="str">
        <x:v>ul. Hurtowa 8, 15-399 Białystok</x:v>
      </x:c>
      <x:c r="Q18" s="62" t="str">
        <x:v>5423094347</x:v>
      </x:c>
      <x:c r="R18" s="62" t="str">
        <x:v>0000314581</x:v>
      </x:c>
      <x:c r="S18" s="62" t="str">
        <x:v>Zapalniczki Clipper | Akcesoria Tytoniowe | Produkty przykasowe | Clipper | Zapalniczki | Akcesoria dla palaczy | Artykuły impulsowe</x:v>
      </x:c>
      <x:c r="T18" s="62" t="str">
        <x:f>IF(AND(K18&lt;&gt;"",L18&lt;&gt;"",O18&lt;&gt;""),"Pełny",IF(OR(K18&lt;&gt;"",L18&lt;&gt;""),"Częściowy","Brak bezpośredniego kontaktu"))</x:f>
        <x:v>Pełny</x:v>
      </x:c>
      <x:c r="U18" s="62" t="str">
        <x:v>Nowy</x:v>
      </x:c>
      <x:c r="V18" s="62" t="str">
        <x:v>BILLS — hurt@bills.pl</x:v>
      </x:c>
      <x:c r="W18" s="62" t="str">
        <x:v>Telefon do działu zakupów + personalizowany e-mail tego samego dnia</x:v>
      </x:c>
      <x:c r="X18" s="81" t="n">
        <x:f>IF(C18&gt;=82,'Model scoringu'!$B$4,IF(C18&gt;=72,'Model scoringu'!$B$5,IF(C18&gt;=58,'Model scoringu'!$B$6,"")))</x:f>
        <x:v>46223</x:v>
      </x:c>
      <x:c r="Y18" s="62" t="str">
        <x:v>Sprzedaż komplementarnych akcesoriów dla palaczy; kompetencje importowo-dystrybucyjne.</x:v>
      </x:c>
      <x:c r="Z18" s="62" t="str">
        <x:v>https://www.clipperpolska.pl/ | https://www.eurus.com.pl/kontakt/ | https://www.clipperpolska.pl</x:v>
      </x:c>
      <x:c r="AA18" s="62" t="str">
        <x:v>Status źródłowy: Zweryfikowany — aktywna strona/B2B</x:v>
      </x:c>
      <x:c r="AB18" s="50" t="n">
        <x:v>18</x:v>
      </x:c>
      <x:c r="AC18" s="50" t="n">
        <x:v>20</x:v>
      </x:c>
      <x:c r="AD18" s="50" t="n">
        <x:v>15</x:v>
      </x:c>
      <x:c r="AE18" s="50" t="n">
        <x:v>15</x:v>
      </x:c>
      <x:c r="AF18" s="50" t="n">
        <x:v>10</x:v>
      </x:c>
      <x:c r="AG18" s="50" t="n">
        <x:v>10</x:v>
      </x:c>
      <x:c r="AH18" s="57" t="n">
        <x:v>0</x:v>
      </x:c>
    </x:row>
    <x:row r="19" ht="34" customHeight="1">
      <x:c r="A19" s="87" t="n">
        <x:v>17</x:v>
      </x:c>
      <x:c r="B19" s="88" t="str">
        <x:f>IF(C19&gt;=82,"A"&amp;1&amp;" — kontakt natychmiast",IF(C19&gt;=72,"A"&amp;2&amp;" — kontakt w 7 dni",IF(C19&gt;=58,"B — kampania regionalna",IF(C19&gt;=42,"C — weryfikacja i nurturing","D — niski priorytet/wykluczyć"))))</x:f>
        <x:v>A1 — kontakt natychmiast</x:v>
      </x:c>
      <x:c r="C19" s="88" t="n">
        <x:f>MAX(0,MIN(100,SUM(AB19:AG19)-AH19))</x:f>
        <x:v>88</x:v>
      </x:c>
      <x:c r="D19" s="62" t="str">
        <x:v>BetaFlame / Firma Handlowa BETA Katarzyna Ślifierz</x:v>
      </x:c>
      <x:c r="E19" s="62" t="str">
        <x:v>Partner dystrybucyjny/importer</x:v>
      </x:c>
      <x:c r="F19" s="62" t="str">
        <x:v>S3 — Akcesoria dla palaczy/headshop</x:v>
      </x:c>
      <x:c r="G19" s="62" t="str">
        <x:v>Importer/dystrybutor krajowy</x:v>
      </x:c>
      <x:c r="H19" s="62" t="str">
        <x:v>Śląskie</x:v>
      </x:c>
      <x:c r="I19" s="62" t="str">
        <x:v>Tychy</x:v>
      </x:c>
      <x:c r="J19" s="62" t="str">
        <x:v>Duży</x:v>
      </x:c>
      <x:c r="K19" s="62" t="str">
        <x:v>hurt@betaflame.pl</x:v>
      </x:c>
      <x:c r="L19" s="62" t="str">
        <x:v>+48 606 920 076</x:v>
      </x:c>
      <x:c r="M19" s="62" t="str"/>
      <x:c r="N19" s="62" t="str"/>
      <x:c r="O19" s="62" t="str">
        <x:v>https://betaflame.pl</x:v>
      </x:c>
      <x:c r="P19" s="62" t="str">
        <x:v>ul. Przemysłowa 60, 43-100 Tychy</x:v>
      </x:c>
      <x:c r="Q19" s="62" t="str">
        <x:v>6462019385</x:v>
      </x:c>
      <x:c r="R19" s="62" t="str"/>
      <x:c r="S19" s="62" t="str">
        <x:v>Zapalniczki | Papierośnice | Popielniczki | Akcesoria Tytoniowe | Akcesoria dla palaczy | Zapalniczki | Artykuły impulsowe</x:v>
      </x:c>
      <x:c r="T19" s="62" t="str">
        <x:f>IF(AND(K19&lt;&gt;"",L19&lt;&gt;"",O19&lt;&gt;""),"Pełny",IF(OR(K19&lt;&gt;"",L19&lt;&gt;""),"Częściowy","Brak bezpośredniego kontaktu"))</x:f>
        <x:v>Pełny</x:v>
      </x:c>
      <x:c r="U19" s="62" t="str">
        <x:v>Nowy</x:v>
      </x:c>
      <x:c r="V19" s="62" t="str">
        <x:v>BILLS — hurt@bills.pl</x:v>
      </x:c>
      <x:c r="W19" s="62" t="str">
        <x:v>Telefon do działu zakupów + personalizowany e-mail tego samego dnia</x:v>
      </x:c>
      <x:c r="X19" s="81" t="n">
        <x:f>IF(C19&gt;=82,'Model scoringu'!$B$4,IF(C19&gt;=72,'Model scoringu'!$B$5,IF(C19&gt;=58,'Model scoringu'!$B$6,"")))</x:f>
        <x:v>46223</x:v>
      </x:c>
      <x:c r="Y19" s="62" t="str">
        <x:v>Sprzedaż komplementarnych akcesoriów dla palaczy; kompetencje importowo-dystrybucyjne.</x:v>
      </x:c>
      <x:c r="Z19" s="62" t="str">
        <x:v>https://betaflame.pl/pl/i/Regulaminy/2 | https://betaflame.pl/pl/c/Akcesoria-dla-palaczy/1198 | https://betaflame.pl</x:v>
      </x:c>
      <x:c r="AA19" s="62" t="str">
        <x:v>Status źródłowy: Zweryfikowany — aktywna strona/B2B</x:v>
      </x:c>
      <x:c r="AB19" s="50" t="n">
        <x:v>18</x:v>
      </x:c>
      <x:c r="AC19" s="50" t="n">
        <x:v>20</x:v>
      </x:c>
      <x:c r="AD19" s="50" t="n">
        <x:v>15</x:v>
      </x:c>
      <x:c r="AE19" s="50" t="n">
        <x:v>15</x:v>
      </x:c>
      <x:c r="AF19" s="50" t="n">
        <x:v>10</x:v>
      </x:c>
      <x:c r="AG19" s="50" t="n">
        <x:v>10</x:v>
      </x:c>
      <x:c r="AH19" s="57" t="n">
        <x:v>0</x:v>
      </x:c>
    </x:row>
    <x:row r="20" ht="34" customHeight="1">
      <x:c r="A20" s="87" t="n">
        <x:v>18</x:v>
      </x:c>
      <x:c r="B20" s="88" t="str">
        <x:f>IF(C20&gt;=82,"A"&amp;1&amp;" — kontakt natychmiast",IF(C20&gt;=72,"A"&amp;2&amp;" — kontakt w 7 dni",IF(C20&gt;=58,"B — kampania regionalna",IF(C20&gt;=42,"C — weryfikacja i nurturing","D — niski priorytet/wykluczyć"))))</x:f>
        <x:v>A1 — kontakt natychmiast</x:v>
      </x:c>
      <x:c r="C20" s="88" t="n">
        <x:f>MAX(0,MIN(100,SUM(AB20:AG20)-AH20))</x:f>
        <x:v>86</x:v>
      </x:c>
      <x:c r="D20" s="62" t="str">
        <x:v>SklepTytoniowy.pl</x:v>
      </x:c>
      <x:c r="E20" s="62" t="str">
        <x:v>Potencjalny reseller / odbiorca hurtowy</x:v>
      </x:c>
      <x:c r="F20" s="62" t="str">
        <x:v>S1 — RYO/MYO, gilzy i nabijarki</x:v>
      </x:c>
      <x:c r="G20" s="62" t="str">
        <x:v>Hurt B2B + detal</x:v>
      </x:c>
      <x:c r="H20" s="62" t="str">
        <x:v>Wielkopolskie</x:v>
      </x:c>
      <x:c r="I20" s="62" t="str"/>
      <x:c r="J20" s="62" t="str">
        <x:v>Średni</x:v>
      </x:c>
      <x:c r="K20" s="62" t="str">
        <x:v>biuro@skleptytoniowy.pl</x:v>
      </x:c>
      <x:c r="L20" s="62" t="str">
        <x:v>+48 62 767 46 07; +48 515 230 341</x:v>
      </x:c>
      <x:c r="M20" s="62" t="str">
        <x:v>Dział handlowy Tabak Grupa</x:v>
      </x:c>
      <x:c r="N20" s="62" t="str">
        <x:v>Internetowa hurtownia tytoniowa</x:v>
      </x:c>
      <x:c r="O20" s="62" t="str">
        <x:v>https://skleptytoniowy.pl</x:v>
      </x:c>
      <x:c r="P20" s="62" t="str">
        <x:v>ul. Złota 126, 62-800 Kalisz</x:v>
      </x:c>
      <x:c r="Q20" s="62" t="str"/>
      <x:c r="R20" s="62" t="str"/>
      <x:c r="S20" s="62" t="str">
        <x:v>Nabijarki &amp; Zwijarki | Papierosy | Tytoń | Hurt | Sklep Tytoniowy</x:v>
      </x:c>
      <x:c r="T20" s="62" t="str">
        <x:f>IF(AND(K20&lt;&gt;"",L20&lt;&gt;"",O20&lt;&gt;""),"Pełny",IF(OR(K20&lt;&gt;"",L20&lt;&gt;""),"Częściowy","Brak bezpośredniego kontaktu"))</x:f>
        <x:v>Pełny</x:v>
      </x:c>
      <x:c r="U20" s="62" t="str">
        <x:v>Nowy</x:v>
      </x:c>
      <x:c r="V20" s="62" t="str">
        <x:v>BILLS — hurt@bills.pl</x:v>
      </x:c>
      <x:c r="W20" s="62" t="str">
        <x:v>Telefon do działu zakupów + personalizowany e-mail tego samego dnia</x:v>
      </x:c>
      <x:c r="X20" s="81" t="n">
        <x:f>IF(C20&gt;=82,'Model scoringu'!$B$4,IF(C20&gt;=72,'Model scoringu'!$B$5,IF(C20&gt;=58,'Model scoringu'!$B$6,"")))</x:f>
        <x:v>46223</x:v>
      </x:c>
      <x:c r="Y20" s="62" t="str">
        <x:v>Bezpośrednie dopasowanie do ryo/myo, gilz lub nabijarek.</x:v>
      </x:c>
      <x:c r="Z20" s="62" t="str">
        <x:v>https://www.skleptytoniowy.pl/logowanie | https://skleptytoniowy.pl</x:v>
      </x:c>
      <x:c r="AA20" s="62" t="str">
        <x:v>Deklaruje około 40 sklepów stacjonarnych i sprzedaż wyrobów tytoniowych wyłącznie firmom. | Nie potwierdzone | Status źródłowy: Niezweryfikowany</x:v>
      </x:c>
      <x:c r="AB20" s="50" t="n">
        <x:v>30</x:v>
      </x:c>
      <x:c r="AC20" s="50" t="n">
        <x:v>15</x:v>
      </x:c>
      <x:c r="AD20" s="50" t="n">
        <x:v>11</x:v>
      </x:c>
      <x:c r="AE20" s="50" t="n">
        <x:v>15</x:v>
      </x:c>
      <x:c r="AF20" s="50" t="n">
        <x:v>10</x:v>
      </x:c>
      <x:c r="AG20" s="50" t="n">
        <x:v>10</x:v>
      </x:c>
      <x:c r="AH20" s="57" t="n">
        <x:v>5</x:v>
      </x:c>
    </x:row>
    <x:row r="21" ht="34" customHeight="1">
      <x:c r="A21" s="87" t="n">
        <x:v>19</x:v>
      </x:c>
      <x:c r="B21" s="88" t="str">
        <x:f>IF(C21&gt;=82,"A"&amp;1&amp;" — kontakt natychmiast",IF(C21&gt;=72,"A"&amp;2&amp;" — kontakt w 7 dni",IF(C21&gt;=58,"B — kampania regionalna",IF(C21&gt;=42,"C — weryfikacja i nurturing","D — niski priorytet/wykluczyć"))))</x:f>
        <x:v>A1 — kontakt natychmiast</x:v>
      </x:c>
      <x:c r="C21" s="88" t="n">
        <x:f>MAX(0,MIN(100,SUM(AB21:AG21)-AH21))</x:f>
        <x:v>86</x:v>
      </x:c>
      <x:c r="D21" s="62" t="str">
        <x:v>Dopalenia.pl</x:v>
      </x:c>
      <x:c r="E21" s="62" t="str">
        <x:v>Potencjalny reseller / odbiorca hurtowy</x:v>
      </x:c>
      <x:c r="F21" s="62" t="str">
        <x:v>S1 — RYO/MYO, gilzy i nabijarki</x:v>
      </x:c>
      <x:c r="G21" s="62" t="str">
        <x:v>Hurt B2B + detal</x:v>
      </x:c>
      <x:c r="H21" s="62" t="str">
        <x:v>Łódzkie</x:v>
      </x:c>
      <x:c r="I21" s="62" t="str">
        <x:v>Konstantynów Łódzki</x:v>
      </x:c>
      <x:c r="J21" s="62" t="str">
        <x:v>Mały</x:v>
      </x:c>
      <x:c r="K21" s="62" t="str">
        <x:v>sklep@dopalenia.pl</x:v>
      </x:c>
      <x:c r="L21" s="62" t="str">
        <x:v>665-852-033</x:v>
      </x:c>
      <x:c r="M21" s="62" t="str"/>
      <x:c r="N21" s="62" t="str"/>
      <x:c r="O21" s="62" t="str">
        <x:v>https://dopalenia.pl/nabijarki...</x:v>
      </x:c>
      <x:c r="P21" s="62" t="str">
        <x:v>Poland</x:v>
      </x:c>
      <x:c r="Q21" s="62" t="str">
        <x:v>7311693836</x:v>
      </x:c>
      <x:c r="R21" s="62" t="str"/>
      <x:c r="S21" s="62" t="str">
        <x:v>Akcesoria Tytoniowe | Nabijarki &amp; Zwijarki | Papierosy | Tytoń | OCB Easy Slide injectors | Powermatic III automatic injector | Zen injector machines for 100/80 tubes | RYO | Rdzeń systemu nabijarek</x:v>
      </x:c>
      <x:c r="T21" s="62" t="str">
        <x:f>IF(AND(K21&lt;&gt;"",L21&lt;&gt;"",O21&lt;&gt;""),"Pełny",IF(OR(K21&lt;&gt;"",L21&lt;&gt;""),"Częściowy","Brak bezpośredniego kontaktu"))</x:f>
        <x:v>Pełny</x:v>
      </x:c>
      <x:c r="U21" s="62" t="str">
        <x:v>Nowy</x:v>
      </x:c>
      <x:c r="V21" s="62" t="str">
        <x:v>BILLS — hurt@bills.pl</x:v>
      </x:c>
      <x:c r="W21" s="62" t="str">
        <x:v>Telefon do działu zakupów + personalizowany e-mail tego samego dnia</x:v>
      </x:c>
      <x:c r="X21" s="81" t="n">
        <x:f>IF(C21&gt;=82,'Model scoringu'!$B$4,IF(C21&gt;=72,'Model scoringu'!$B$5,IF(C21&gt;=58,'Model scoringu'!$B$6,"")))</x:f>
        <x:v>46223</x:v>
      </x:c>
      <x:c r="Y21" s="62" t="str">
        <x:v>Bezpośrednie dopasowanie do ryo/myo, gilz lub nabijarek.</x:v>
      </x:c>
      <x:c r="Z21" s="62" t="str">
        <x:v>https://dopalenia.pl/nabijarki...</x:v>
      </x:c>
      <x:c r="AA21" s="62" t="str">
        <x:v>TAK | Status źródłowy: Dostępny w katalogu</x:v>
      </x:c>
      <x:c r="AB21" s="50" t="n">
        <x:v>30</x:v>
      </x:c>
      <x:c r="AC21" s="50" t="n">
        <x:v>15</x:v>
      </x:c>
      <x:c r="AD21" s="50" t="n">
        <x:v>6</x:v>
      </x:c>
      <x:c r="AE21" s="50" t="n">
        <x:v>15</x:v>
      </x:c>
      <x:c r="AF21" s="50" t="n">
        <x:v>10</x:v>
      </x:c>
      <x:c r="AG21" s="50" t="n">
        <x:v>10</x:v>
      </x:c>
      <x:c r="AH21" s="57" t="n">
        <x:v>0</x:v>
      </x:c>
    </x:row>
    <x:row r="22" ht="34" customHeight="1">
      <x:c r="A22" s="87" t="n">
        <x:v>20</x:v>
      </x:c>
      <x:c r="B22" s="88" t="str">
        <x:f>IF(C22&gt;=82,"A"&amp;1&amp;" — kontakt natychmiast",IF(C22&gt;=72,"A"&amp;2&amp;" — kontakt w 7 dni",IF(C22&gt;=58,"B — kampania regionalna",IF(C22&gt;=42,"C — weryfikacja i nurturing","D — niski priorytet/wykluczyć"))))</x:f>
        <x:v>A1 — kontakt natychmiast</x:v>
      </x:c>
      <x:c r="C22" s="88" t="n">
        <x:f>MAX(0,MIN(100,SUM(AB22:AG22)-AH22))</x:f>
        <x:v>84</x:v>
      </x:c>
      <x:c r="D22" s="62" t="str">
        <x:v>i-Want! (Hurtownia i-Want!)</x:v>
      </x:c>
      <x:c r="E22" s="62" t="str">
        <x:v>Potencjalny reseller / odbiorca hurtowy</x:v>
      </x:c>
      <x:c r="F22" s="62" t="str">
        <x:v>S1 — RYO/MYO, gilzy i nabijarki</x:v>
      </x:c>
      <x:c r="G22" s="62" t="str">
        <x:v>Hurt ogólnopolski</x:v>
      </x:c>
      <x:c r="H22" s="62" t="str">
        <x:v>Wielkopolskie</x:v>
      </x:c>
      <x:c r="I22" s="62" t="str"/>
      <x:c r="J22" s="62" t="str">
        <x:v>Mały</x:v>
      </x:c>
      <x:c r="K22" s="62" t="str">
        <x:v>hurt@i-want.pl</x:v>
      </x:c>
      <x:c r="L22" s="62" t="str">
        <x:v>+48 500 528 972; +48 513 954 493 wew. 4</x:v>
      </x:c>
      <x:c r="M22" s="62" t="str">
        <x:v>Dział hurtowy</x:v>
      </x:c>
      <x:c r="N22" s="62" t="str">
        <x:v>Sprzedaż B2B</x:v>
      </x:c>
      <x:c r="O22" s="62" t="str">
        <x:v>https://i-want.pl</x:v>
      </x:c>
      <x:c r="P22" s="62" t="str">
        <x:v>Magazynowa 10, 62-030 Luboń</x:v>
      </x:c>
      <x:c r="Q22" s="62" t="str">
        <x:v>7831904759</x:v>
      </x:c>
      <x:c r="R22" s="62" t="str">
        <x:v>0001107505</x:v>
      </x:c>
      <x:c r="S22" s="62" t="str">
        <x:v>Nabijarki &amp; Zwijarki | Electric injector RED 03 and similar 8 mm tube machines | Rdzeń systemu nabijarek</x:v>
      </x:c>
      <x:c r="T22" s="62" t="str">
        <x:f>IF(AND(K22&lt;&gt;"",L22&lt;&gt;"",O22&lt;&gt;""),"Pełny",IF(OR(K22&lt;&gt;"",L22&lt;&gt;""),"Częściowy","Brak bezpośredniego kontaktu"))</x:f>
        <x:v>Pełny</x:v>
      </x:c>
      <x:c r="U22" s="62" t="str">
        <x:v>Nowy</x:v>
      </x:c>
      <x:c r="V22" s="62" t="str">
        <x:v>BILLS — hurt@bills.pl</x:v>
      </x:c>
      <x:c r="W22" s="62" t="str">
        <x:v>Telefon do działu zakupów + personalizowany e-mail tego samego dnia</x:v>
      </x:c>
      <x:c r="X22" s="81" t="n">
        <x:f>IF(C22&gt;=82,'Model scoringu'!$B$4,IF(C22&gt;=72,'Model scoringu'!$B$5,IF(C22&gt;=58,'Model scoringu'!$B$6,"")))</x:f>
        <x:v>46223</x:v>
      </x:c>
      <x:c r="Y22" s="62" t="str">
        <x:v>Bezpośrednie dopasowanie do ryo/myo, gilz lub nabijarek; zasięg ponadregionalny.</x:v>
      </x:c>
      <x:c r="Z22" s="62" t="str">
        <x:v>https://i-want.pl/kontakt-i-faq/ | https://i-want.pl/regulamin-iwant/ | https://i-want.pl</x:v>
      </x:c>
      <x:c r="AA22" s="62" t="str">
        <x:v>Nie potwierdzone | Status źródłowy: Dostępny w katalogu</x:v>
      </x:c>
      <x:c r="AB22" s="50" t="n">
        <x:v>30</x:v>
      </x:c>
      <x:c r="AC22" s="50" t="n">
        <x:v>18</x:v>
      </x:c>
      <x:c r="AD22" s="50" t="n">
        <x:v>6</x:v>
      </x:c>
      <x:c r="AE22" s="50" t="n">
        <x:v>15</x:v>
      </x:c>
      <x:c r="AF22" s="50" t="n">
        <x:v>10</x:v>
      </x:c>
      <x:c r="AG22" s="50" t="n">
        <x:v>10</x:v>
      </x:c>
      <x:c r="AH22" s="57" t="n">
        <x:v>5</x:v>
      </x:c>
    </x:row>
    <x:row r="23" ht="34" customHeight="1">
      <x:c r="A23" s="87" t="n">
        <x:v>21</x:v>
      </x:c>
      <x:c r="B23" s="88" t="str">
        <x:f>IF(C23&gt;=82,"A"&amp;1&amp;" — kontakt natychmiast",IF(C23&gt;=72,"A"&amp;2&amp;" — kontakt w 7 dni",IF(C23&gt;=58,"B — kampania regionalna",IF(C23&gt;=42,"C — weryfikacja i nurturing","D — niski priorytet/wykluczyć"))))</x:f>
        <x:v>A1 — kontakt natychmiast</x:v>
      </x:c>
      <x:c r="C23" s="88" t="n">
        <x:f>MAX(0,MIN(100,SUM(AB23:AG23)-AH23))</x:f>
        <x:v>84</x:v>
      </x:c>
      <x:c r="D23" s="62" t="str">
        <x:v>TOM Polska Sp. z o.o.</x:v>
      </x:c>
      <x:c r="E23" s="62" t="str">
        <x:v>Partner dystrybucyjny/importer</x:v>
      </x:c>
      <x:c r="F23" s="62" t="str">
        <x:v>S3 — Akcesoria dla palaczy/headshop</x:v>
      </x:c>
      <x:c r="G23" s="62" t="str">
        <x:v>Importer/dystrybutor krajowy</x:v>
      </x:c>
      <x:c r="H23" s="62" t="str">
        <x:v>Opolskie</x:v>
      </x:c>
      <x:c r="I23" s="62" t="str">
        <x:v>Kalisz</x:v>
      </x:c>
      <x:c r="J23" s="62" t="str">
        <x:v>Średni</x:v>
      </x:c>
      <x:c r="K23" s="62" t="str">
        <x:v>biuro@tompolska.pl</x:v>
      </x:c>
      <x:c r="L23" s="62" t="str">
        <x:v>+48 504 154 210</x:v>
      </x:c>
      <x:c r="M23" s="62" t="str"/>
      <x:c r="N23" s="62" t="str"/>
      <x:c r="O23" s="62" t="str">
        <x:v>https://www.tompolska.pl</x:v>
      </x:c>
      <x:c r="P23" s="62" t="str">
        <x:v>ul. Drukarzy 5, 62-800 Kalisz</x:v>
      </x:c>
      <x:c r="Q23" s="62" t="str"/>
      <x:c r="R23" s="62" t="str"/>
      <x:c r="S23" s="62" t="str">
        <x:v>Zapalniczki | Palniki | Zapalarki | Akcesoria Tytoniowe | Zapalniczki | Akcesoria dla palaczy | Artykuły reklamowe</x:v>
      </x:c>
      <x:c r="T23" s="62" t="str">
        <x:f>IF(AND(K23&lt;&gt;"",L23&lt;&gt;"",O23&lt;&gt;""),"Pełny",IF(OR(K23&lt;&gt;"",L23&lt;&gt;""),"Częściowy","Brak bezpośredniego kontaktu"))</x:f>
        <x:v>Pełny</x:v>
      </x:c>
      <x:c r="U23" s="62" t="str">
        <x:v>Nowy</x:v>
      </x:c>
      <x:c r="V23" s="62" t="str">
        <x:v>BILLS — hurt@bills.pl</x:v>
      </x:c>
      <x:c r="W23" s="62" t="str">
        <x:v>Telefon do działu zakupów + personalizowany e-mail tego samego dnia</x:v>
      </x:c>
      <x:c r="X23" s="81" t="n">
        <x:f>IF(C23&gt;=82,'Model scoringu'!$B$4,IF(C23&gt;=72,'Model scoringu'!$B$5,IF(C23&gt;=58,'Model scoringu'!$B$6,"")))</x:f>
        <x:v>46223</x:v>
      </x:c>
      <x:c r="Y23" s="62" t="str">
        <x:v>Sprzedaż komplementarnych akcesoriów dla palaczy; kompetencje importowo-dystrybucyjne.</x:v>
      </x:c>
      <x:c r="Z23" s="62" t="str">
        <x:v>https://tompolska.pl/o-nas | https://tompolska.pl/kontakt | https://www.tompolska.pl</x:v>
      </x:c>
      <x:c r="AA23" s="62" t="str">
        <x:v>Automatycznie pobrane przez skrypt.Rekord uzupełniony i sklasyfikowany w drugim etapie researchu. | Status źródłowy: Zweryfikowany — aktywna strona</x:v>
      </x:c>
      <x:c r="AB23" s="50" t="n">
        <x:v>18</x:v>
      </x:c>
      <x:c r="AC23" s="50" t="n">
        <x:v>20</x:v>
      </x:c>
      <x:c r="AD23" s="50" t="n">
        <x:v>11</x:v>
      </x:c>
      <x:c r="AE23" s="50" t="n">
        <x:v>15</x:v>
      </x:c>
      <x:c r="AF23" s="50" t="n">
        <x:v>10</x:v>
      </x:c>
      <x:c r="AG23" s="50" t="n">
        <x:v>10</x:v>
      </x:c>
      <x:c r="AH23" s="57" t="n">
        <x:v>0</x:v>
      </x:c>
    </x:row>
    <x:row r="24" ht="34" customHeight="1">
      <x:c r="A24" s="87" t="n">
        <x:v>22</x:v>
      </x:c>
      <x:c r="B24" s="88" t="str">
        <x:f>IF(C24&gt;=82,"A"&amp;1&amp;" — kontakt natychmiast",IF(C24&gt;=72,"A"&amp;2&amp;" — kontakt w 7 dni",IF(C24&gt;=58,"B — kampania regionalna",IF(C24&gt;=42,"C — weryfikacja i nurturing","D — niski priorytet/wykluczyć"))))</x:f>
        <x:v>A1 — kontakt natychmiast</x:v>
      </x:c>
      <x:c r="C24" s="88" t="n">
        <x:f>MAX(0,MIN(100,SUM(AB24:AG24)-AH24))</x:f>
        <x:v>84</x:v>
      </x:c>
      <x:c r="D24" s="62" t="str">
        <x:v>Don Marco International Sp. z o.o.</x:v>
      </x:c>
      <x:c r="E24" s="62" t="str">
        <x:v>Potencjalny reseller / odbiorca hurtowy</x:v>
      </x:c>
      <x:c r="F24" s="62" t="str">
        <x:v>S1 — RYO/MYO, gilzy i nabijarki</x:v>
      </x:c>
      <x:c r="G24" s="62" t="str">
        <x:v>Hurt ogólnopolski</x:v>
      </x:c>
      <x:c r="H24" s="62" t="str">
        <x:v>Pomorskie</x:v>
      </x:c>
      <x:c r="I24" s="62" t="str"/>
      <x:c r="J24" s="62" t="str">
        <x:v>Mały</x:v>
      </x:c>
      <x:c r="K24" s="62" t="str">
        <x:v>donmarco@donmarco.pl</x:v>
      </x:c>
      <x:c r="L24" s="62" t="str">
        <x:v>+48 882 551 017; +48 602 264 080</x:v>
      </x:c>
      <x:c r="M24" s="62" t="str">
        <x:v>Dział zamówień i wysyłek</x:v>
      </x:c>
      <x:c r="N24" s="62" t="str">
        <x:v>Importer i dystrybutor</x:v>
      </x:c>
      <x:c r="O24" s="62" t="str">
        <x:v>https://donmarco.pl</x:v>
      </x:c>
      <x:c r="P24" s="62" t="str">
        <x:v>ul. Jodłowa 20, 80-633 Gdańsk; magazyn: ul. Budowlanych 15A, Gdańsk</x:v>
      </x:c>
      <x:c r="Q24" s="62" t="str"/>
      <x:c r="R24" s="62" t="str"/>
      <x:c r="S24" s="62" t="str">
        <x:v>Nabijarki &amp; Zwijarki | Cigarette rollers | Fillers | Manual rolling machines | Rdzeń systemu nabijarek</x:v>
      </x:c>
      <x:c r="T24" s="62" t="str">
        <x:f>IF(AND(K24&lt;&gt;"",L24&lt;&gt;"",O24&lt;&gt;""),"Pełny",IF(OR(K24&lt;&gt;"",L24&lt;&gt;""),"Częściowy","Brak bezpośredniego kontaktu"))</x:f>
        <x:v>Pełny</x:v>
      </x:c>
      <x:c r="U24" s="62" t="str">
        <x:v>Nowy</x:v>
      </x:c>
      <x:c r="V24" s="62" t="str">
        <x:v>BILLS — hurt@bills.pl</x:v>
      </x:c>
      <x:c r="W24" s="62" t="str">
        <x:v>Telefon do działu zakupów + personalizowany e-mail tego samego dnia</x:v>
      </x:c>
      <x:c r="X24" s="81" t="n">
        <x:f>IF(C24&gt;=82,'Model scoringu'!$B$4,IF(C24&gt;=72,'Model scoringu'!$B$5,IF(C24&gt;=58,'Model scoringu'!$B$6,"")))</x:f>
        <x:v>46223</x:v>
      </x:c>
      <x:c r="Y24" s="62" t="str">
        <x:v>Bezpośrednie dopasowanie do ryo/myo, gilz lub nabijarek; zasięg ponadregionalny.</x:v>
      </x:c>
      <x:c r="Z24" s="62" t="str">
        <x:v>https://www.donmarco.pl/pl/text/27-KONTAKT.php | https://donmarco.pl</x:v>
      </x:c>
      <x:c r="AA24" s="62" t="str">
        <x:v>Importer zapalniczek, akcesoriów trafikowych i artykułów impulsowych. | Nie potwierdzone | Status źródłowy: Dostępny w katalogu</x:v>
      </x:c>
      <x:c r="AB24" s="50" t="n">
        <x:v>30</x:v>
      </x:c>
      <x:c r="AC24" s="50" t="n">
        <x:v>18</x:v>
      </x:c>
      <x:c r="AD24" s="50" t="n">
        <x:v>6</x:v>
      </x:c>
      <x:c r="AE24" s="50" t="n">
        <x:v>15</x:v>
      </x:c>
      <x:c r="AF24" s="50" t="n">
        <x:v>10</x:v>
      </x:c>
      <x:c r="AG24" s="50" t="n">
        <x:v>10</x:v>
      </x:c>
      <x:c r="AH24" s="57" t="n">
        <x:v>5</x:v>
      </x:c>
    </x:row>
    <x:row r="25" ht="34" customHeight="1">
      <x:c r="A25" s="87" t="n">
        <x:v>23</x:v>
      </x:c>
      <x:c r="B25" s="88" t="str">
        <x:f>IF(C25&gt;=82,"A"&amp;1&amp;" — kontakt natychmiast",IF(C25&gt;=72,"A"&amp;2&amp;" — kontakt w 7 dni",IF(C25&gt;=58,"B — kampania regionalna",IF(C25&gt;=42,"C — weryfikacja i nurturing","D — niski priorytet/wykluczyć"))))</x:f>
        <x:v>A1 — kontakt natychmiast</x:v>
      </x:c>
      <x:c r="C25" s="88" t="n">
        <x:f>MAX(0,MIN(100,SUM(AB25:AG25)-AH25))</x:f>
        <x:v>83</x:v>
      </x:c>
      <x:c r="D25" s="62" t="str">
        <x:v>MRC Trade</x:v>
      </x:c>
      <x:c r="E25" s="62" t="str">
        <x:v>Partner strategiczny / możliwy konflikt produktowy</x:v>
      </x:c>
      <x:c r="F25" s="62" t="str">
        <x:v>S1 — RYO/MYO, gilzy i nabijarki</x:v>
      </x:c>
      <x:c r="G25" s="62" t="str">
        <x:v>Producent/importer/dystrybutor</x:v>
      </x:c>
      <x:c r="H25" s="62" t="str">
        <x:v>Kujawsko-pomorskie</x:v>
      </x:c>
      <x:c r="I25" s="62" t="str"/>
      <x:c r="J25" s="62" t="str">
        <x:v>Duża</x:v>
      </x:c>
      <x:c r="K25" s="62" t="str">
        <x:v>biuro@mrctrade.pl; export@mrctrade.pl</x:v>
      </x:c>
      <x:c r="L25" s="62" t="str">
        <x:v>+48 797 724 344; +48 784 901 554</x:v>
      </x:c>
      <x:c r="M25" s="62" t="str">
        <x:v>Dział sprzedaży / przedstawiciele regionalni</x:v>
      </x:c>
      <x:c r="N25" s="62" t="str">
        <x:v>Sprzedaż krajowa i vanselling</x:v>
      </x:c>
      <x:c r="O25" s="62" t="str">
        <x:v>https://mrctrade.pl</x:v>
      </x:c>
      <x:c r="P25" s="62" t="str">
        <x:v>ul. Włocławska 171A, 87-100 Toruń</x:v>
      </x:c>
      <x:c r="Q25" s="62" t="str"/>
      <x:c r="R25" s="62" t="str"/>
      <x:c r="S25" s="62" t="str">
        <x:v>Akcesoria Tytoniowe | Gilzy &amp; Filtry</x:v>
      </x:c>
      <x:c r="T25" s="62" t="str">
        <x:f>IF(AND(K25&lt;&gt;"",L25&lt;&gt;"",O25&lt;&gt;""),"Pełny",IF(OR(K25&lt;&gt;"",L25&lt;&gt;""),"Częściowy","Brak bezpośredniego kontaktu"))</x:f>
        <x:v>Pełny</x:v>
      </x:c>
      <x:c r="U25" s="62" t="str">
        <x:v>Nowy</x:v>
      </x:c>
      <x:c r="V25" s="62" t="str">
        <x:v>BILLS — hurt@bills.pl</x:v>
      </x:c>
      <x:c r="W25" s="62" t="str">
        <x:v>Rozmowa strategiczna z dyrektorem handlowym; bez standardowego cold maila</x:v>
      </x:c>
      <x:c r="X25" s="81" t="n">
        <x:f>IF(C25&gt;=82,'Model scoringu'!$B$4,IF(C25&gt;=72,'Model scoringu'!$B$5,IF(C25&gt;=58,'Model scoringu'!$B$6,"")))</x:f>
        <x:v>46223</x:v>
      </x:c>
      <x:c r="Y25" s="62" t="str">
        <x:v>Bezpośrednie dopasowanie do ryo/myo, gilz lub nabijarek; kompetencje importowo-dystrybucyjne; wymaga rozmowy strategicznej zamiast standardowej oferty.</x:v>
      </x:c>
      <x:c r="Z25" s="62" t="str">
        <x:v>https://mrctrade.pl/kontakt/ | https://mrctrade.pl/oferta/ | https://mrctrade.pl</x:v>
      </x:c>
      <x:c r="AA25" s="62" t="str">
        <x:v>Producent gilz i filtrów, własna sieć przedstawicieli w 13 województwach; kontakt strategiczny. | Domestic Polish producer of cigarette tubes and filters supplying wholesale channels.</x:v>
      </x:c>
      <x:c r="AB25" s="50" t="n">
        <x:v>30</x:v>
      </x:c>
      <x:c r="AC25" s="50" t="n">
        <x:v>20</x:v>
      </x:c>
      <x:c r="AD25" s="50" t="n">
        <x:v>7</x:v>
      </x:c>
      <x:c r="AE25" s="50" t="n">
        <x:v>15</x:v>
      </x:c>
      <x:c r="AF25" s="50" t="n">
        <x:v>10</x:v>
      </x:c>
      <x:c r="AG25" s="50" t="n">
        <x:v>9</x:v>
      </x:c>
      <x:c r="AH25" s="57" t="n">
        <x:v>8</x:v>
      </x:c>
    </x:row>
    <x:row r="26" ht="34" customHeight="1">
      <x:c r="A26" s="87" t="n">
        <x:v>24</x:v>
      </x:c>
      <x:c r="B26" s="88" t="str">
        <x:f>IF(C26&gt;=82,"A"&amp;1&amp;" — kontakt natychmiast",IF(C26&gt;=72,"A"&amp;2&amp;" — kontakt w 7 dni",IF(C26&gt;=58,"B — kampania regionalna",IF(C26&gt;=42,"C — weryfikacja i nurturing","D — niski priorytet/wykluczyć"))))</x:f>
        <x:v>A1 — kontakt natychmiast</x:v>
      </x:c>
      <x:c r="C26" s="88" t="n">
        <x:f>MAX(0,MIN(100,SUM(AB26:AG26)-AH26))</x:f>
        <x:v>82</x:v>
      </x:c>
      <x:c r="D26" s="62" t="str">
        <x:v>CK Complex B2B</x:v>
      </x:c>
      <x:c r="E26" s="62" t="str">
        <x:v>Potencjalny reseller / odbiorca hurtowy</x:v>
      </x:c>
      <x:c r="F26" s="62" t="str">
        <x:v>S3 — Akcesoria dla palaczy/headshop</x:v>
      </x:c>
      <x:c r="G26" s="62" t="str">
        <x:v>Hurt ogólnopolski</x:v>
      </x:c>
      <x:c r="H26" s="62" t="str">
        <x:v>Lubuskie</x:v>
      </x:c>
      <x:c r="I26" s="62" t="str">
        <x:v>Ogólnopolska</x:v>
      </x:c>
      <x:c r="J26" s="62" t="str">
        <x:v>Średni</x:v>
      </x:c>
      <x:c r="K26" s="62" t="str">
        <x:v>monika.wachel@ckcomplex.pl; b2b@ckcomplex.pl</x:v>
      </x:c>
      <x:c r="L26" s="62" t="str">
        <x:v>+48 511 881 411; +48 515 377 435</x:v>
      </x:c>
      <x:c r="M26" s="62" t="str">
        <x:v>Monika Wachel</x:v>
      </x:c>
      <x:c r="N26" s="62" t="str">
        <x:v>Dyrektor ds. sprzedaży hurtowej</x:v>
      </x:c>
      <x:c r="O26" s="62" t="str">
        <x:v>https://b2b.ckcomplex.pl/pl/li...</x:v>
      </x:c>
      <x:c r="P26" s="62" t="str">
        <x:v>ul. Naftowa 4, 65-705 Zielona Góra</x:v>
      </x:c>
      <x:c r="Q26" s="62" t="str">
        <x:v>9291744080</x:v>
      </x:c>
      <x:c r="R26" s="62" t="str"/>
      <x:c r="S26" s="62" t="str">
        <x:v>Akcesoria Tytoniowe | Hurt | Sklep Tytoniowy</x:v>
      </x:c>
      <x:c r="T26" s="62" t="str">
        <x:f>IF(AND(K26&lt;&gt;"",L26&lt;&gt;"",O26&lt;&gt;""),"Pełny",IF(OR(K26&lt;&gt;"",L26&lt;&gt;""),"Częściowy","Brak bezpośredniego kontaktu"))</x:f>
        <x:v>Pełny</x:v>
      </x:c>
      <x:c r="U26" s="62" t="str">
        <x:v>Nowy</x:v>
      </x:c>
      <x:c r="V26" s="62" t="str">
        <x:v>BILLS — hurt@bills.pl</x:v>
      </x:c>
      <x:c r="W26" s="62" t="str">
        <x:v>Telefon do działu zakupów + personalizowany e-mail tego samego dnia</x:v>
      </x:c>
      <x:c r="X26" s="81" t="n">
        <x:f>IF(C26&gt;=82,'Model scoringu'!$B$4,IF(C26&gt;=72,'Model scoringu'!$B$5,IF(C26&gt;=58,'Model scoringu'!$B$6,"")))</x:f>
        <x:v>46223</x:v>
      </x:c>
      <x:c r="Y26" s="62" t="str">
        <x:v>Sprzedaż komplementarnych akcesoriów dla palaczy; zasięg ponadregionalny.</x:v>
      </x:c>
      <x:c r="Z26" s="62" t="str">
        <x:v>https://ckcomplex.pl/kontakt/ | https://b2b.ckcomplex.pl/ | https://b2b.ckcomplex.pl/pl/li...</x:v>
      </x:c>
      <x:c r="AA26" s="62" t="str">
        <x:v>Status źródłowy: Niezweryfikowany</x:v>
      </x:c>
      <x:c r="AB26" s="50" t="n">
        <x:v>18</x:v>
      </x:c>
      <x:c r="AC26" s="50" t="n">
        <x:v>18</x:v>
      </x:c>
      <x:c r="AD26" s="50" t="n">
        <x:v>11</x:v>
      </x:c>
      <x:c r="AE26" s="50" t="n">
        <x:v>15</x:v>
      </x:c>
      <x:c r="AF26" s="50" t="n">
        <x:v>10</x:v>
      </x:c>
      <x:c r="AG26" s="50" t="n">
        <x:v>10</x:v>
      </x:c>
      <x:c r="AH26" s="57" t="n">
        <x:v>0</x:v>
      </x:c>
    </x:row>
    <x:row r="27" ht="34" customHeight="1">
      <x:c r="A27" s="87" t="n">
        <x:v>25</x:v>
      </x:c>
      <x:c r="B27" s="88" t="str">
        <x:f>IF(C27&gt;=82,"A"&amp;1&amp;" — kontakt natychmiast",IF(C27&gt;=72,"A"&amp;2&amp;" — kontakt w 7 dni",IF(C27&gt;=58,"B — kampania regionalna",IF(C27&gt;=42,"C — weryfikacja i nurturing","D — niski priorytet/wykluczyć"))))</x:f>
        <x:v>A2 — kontakt w 7 dni</x:v>
      </x:c>
      <x:c r="C27" s="88" t="n">
        <x:f>MAX(0,MIN(100,SUM(AB27:AG27)-AH27))</x:f>
        <x:v>81</x:v>
      </x:c>
      <x:c r="D27" s="62" t="str">
        <x:v>Fusion Labs Sp. z o.o.</x:v>
      </x:c>
      <x:c r="E27" s="62" t="str">
        <x:v>Partner strategiczny / producent</x:v>
      </x:c>
      <x:c r="F27" s="62" t="str">
        <x:v>S4 — Vape/e-papierosy</x:v>
      </x:c>
      <x:c r="G27" s="62" t="str">
        <x:v>Producent/importer/dystrybutor</x:v>
      </x:c>
      <x:c r="H27" s="62" t="str">
        <x:v>Świętokrzyskie</x:v>
      </x:c>
      <x:c r="I27" s="62" t="str">
        <x:v>Masłów Pierwszy</x:v>
      </x:c>
      <x:c r="J27" s="62" t="str">
        <x:v>Duży</x:v>
      </x:c>
      <x:c r="K27" s="62" t="str">
        <x:v>biuro@fusion.pl</x:v>
      </x:c>
      <x:c r="L27" s="62" t="str">
        <x:v>+48 530 312 326</x:v>
      </x:c>
      <x:c r="M27" s="62" t="str"/>
      <x:c r="N27" s="62" t="str"/>
      <x:c r="O27" s="62" t="str">
        <x:v>https://fusion.pl</x:v>
      </x:c>
      <x:c r="P27" s="62" t="str">
        <x:v>ul. Świętokrzyska 10A, 26-001 Masłów Pierwszy</x:v>
      </x:c>
      <x:c r="Q27" s="62" t="str">
        <x:v>6572968622</x:v>
      </x:c>
      <x:c r="R27" s="62" t="str">
        <x:v>0000963058</x:v>
      </x:c>
      <x:c r="S27" s="62" t="str">
        <x:v>Liquidy | Premixy | Bazy | Shoty | Urządzenia vape | Vape | Liquidy | FMCG</x:v>
      </x:c>
      <x:c r="T27" s="62" t="str">
        <x:f>IF(AND(K27&lt;&gt;"",L27&lt;&gt;"",O27&lt;&gt;""),"Pełny",IF(OR(K27&lt;&gt;"",L27&lt;&gt;""),"Częściowy","Brak bezpośredniego kontaktu"))</x:f>
        <x:v>Pełny</x:v>
      </x:c>
      <x:c r="U27" s="62" t="str">
        <x:v>Nowy</x:v>
      </x:c>
      <x:c r="V27" s="62" t="str">
        <x:v>BILLS — hurt@bills.pl</x:v>
      </x:c>
      <x:c r="W27" s="62" t="str">
        <x:v>E-mail handlowy + telefon follow-up w ciągu 48 godzin</x:v>
      </x:c>
      <x:c r="X27" s="81" t="n">
        <x:f>IF(C27&gt;=82,'Model scoringu'!$B$4,IF(C27&gt;=72,'Model scoringu'!$B$5,IF(C27&gt;=58,'Model scoringu'!$B$6,"")))</x:f>
        <x:v>46227</x:v>
      </x:c>
      <x:c r="Y27" s="62" t="str">
        <x:v>Kanał sąsiedni z bazą klientów zainteresowanych produktami nikotynowymi; kompetencje importowo-dystrybucyjne.</x:v>
      </x:c>
      <x:c r="Z27" s="62" t="str">
        <x:v>https://fusion.pl/ | https://panel.fusion.pl/regulamin-platformy/ | https://fusion.pl</x:v>
      </x:c>
      <x:c r="AA27" s="62" t="str">
        <x:v>Status źródłowy: Zweryfikowany — aktywna strona/B2B</x:v>
      </x:c>
      <x:c r="AB27" s="50" t="n">
        <x:v>11</x:v>
      </x:c>
      <x:c r="AC27" s="50" t="n">
        <x:v>20</x:v>
      </x:c>
      <x:c r="AD27" s="50" t="n">
        <x:v>15</x:v>
      </x:c>
      <x:c r="AE27" s="50" t="n">
        <x:v>15</x:v>
      </x:c>
      <x:c r="AF27" s="50" t="n">
        <x:v>10</x:v>
      </x:c>
      <x:c r="AG27" s="50" t="n">
        <x:v>10</x:v>
      </x:c>
      <x:c r="AH27" s="57" t="n">
        <x:v>0</x:v>
      </x:c>
    </x:row>
    <x:row r="28" ht="34" customHeight="1">
      <x:c r="A28" s="87" t="n">
        <x:v>26</x:v>
      </x:c>
      <x:c r="B28" s="88" t="str">
        <x:f>IF(C28&gt;=82,"A"&amp;1&amp;" — kontakt natychmiast",IF(C28&gt;=72,"A"&amp;2&amp;" — kontakt w 7 dni",IF(C28&gt;=58,"B — kampania regionalna",IF(C28&gt;=42,"C — weryfikacja i nurturing","D — niski priorytet/wykluczyć"))))</x:f>
        <x:v>A2 — kontakt w 7 dni</x:v>
      </x:c>
      <x:c r="C28" s="88" t="n">
        <x:f>MAX(0,MIN(100,SUM(AB28:AG28)-AH28))</x:f>
        <x:v>81</x:v>
      </x:c>
      <x:c r="D28" s="62" t="str">
        <x:v>Fortrade</x:v>
      </x:c>
      <x:c r="E28" s="62" t="str">
        <x:v>Potencjalny reseller / odbiorca hurtowy</x:v>
      </x:c>
      <x:c r="F28" s="62" t="str">
        <x:v>S1 — RYO/MYO, gilzy i nabijarki</x:v>
      </x:c>
      <x:c r="G28" s="62" t="str">
        <x:v>Hurt ogólnopolski</x:v>
      </x:c>
      <x:c r="H28" s="62" t="str">
        <x:v>Ogólnopolska</x:v>
      </x:c>
      <x:c r="I28" s="62" t="str"/>
      <x:c r="J28" s="62" t="str">
        <x:v>Mały</x:v>
      </x:c>
      <x:c r="K28" s="62" t="str"/>
      <x:c r="L28" s="62" t="str"/>
      <x:c r="M28" s="62" t="str"/>
      <x:c r="N28" s="62" t="str"/>
      <x:c r="O28" s="62" t="str">
        <x:v>https://fortrade.pl</x:v>
      </x:c>
      <x:c r="P28" s="62" t="str">
        <x:v>Poland</x:v>
      </x:c>
      <x:c r="Q28" s="62" t="str"/>
      <x:c r="R28" s="62" t="str"/>
      <x:c r="S28" s="62" t="str">
        <x:v>Nabijarki &amp; Zwijarki | Other injector devices | Półautomatyczna tłokowa maszynka do gilz | Rdzeń systemu nabijarek</x:v>
      </x:c>
      <x:c r="T28" s="62" t="str">
        <x:f>IF(AND(K28&lt;&gt;"",L28&lt;&gt;"",O28&lt;&gt;""),"Pełny",IF(OR(K28&lt;&gt;"",L28&lt;&gt;""),"Częściowy","Brak bezpośredniego kontaktu"))</x:f>
        <x:v>Brak bezpośredniego kontaktu</x:v>
      </x:c>
      <x:c r="U28" s="62" t="str">
        <x:v>Nowy</x:v>
      </x:c>
      <x:c r="V28" s="62" t="str">
        <x:v>BILLS — hurt@bills.pl</x:v>
      </x:c>
      <x:c r="W28" s="62" t="str">
        <x:v>E-mail handlowy + telefon follow-up w ciągu 48 godzin</x:v>
      </x:c>
      <x:c r="X28" s="81" t="n">
        <x:f>IF(C28&gt;=82,'Model scoringu'!$B$4,IF(C28&gt;=72,'Model scoringu'!$B$5,IF(C28&gt;=58,'Model scoringu'!$B$6,"")))</x:f>
        <x:v>46227</x:v>
      </x:c>
      <x:c r="Y28" s="62" t="str">
        <x:v>Bezpośrednie dopasowanie do ryo/myo, gilz lub nabijarek; zasięg ponadregionalny.</x:v>
      </x:c>
      <x:c r="Z28" s="62" t="str">
        <x:v>https://fortrade.pl</x:v>
      </x:c>
      <x:c r="AA28" s="62" t="str">
        <x:v>Nie potwierdzone | Status źródłowy: Dostępny w katalogu</x:v>
      </x:c>
      <x:c r="AB28" s="50" t="n">
        <x:v>30</x:v>
      </x:c>
      <x:c r="AC28" s="50" t="n">
        <x:v>18</x:v>
      </x:c>
      <x:c r="AD28" s="50" t="n">
        <x:v>15</x:v>
      </x:c>
      <x:c r="AE28" s="50" t="n">
        <x:v>5</x:v>
      </x:c>
      <x:c r="AF28" s="50" t="n">
        <x:v>8</x:v>
      </x:c>
      <x:c r="AG28" s="50" t="n">
        <x:v>10</x:v>
      </x:c>
      <x:c r="AH28" s="57" t="n">
        <x:v>5</x:v>
      </x:c>
    </x:row>
    <x:row r="29" ht="34" customHeight="1">
      <x:c r="A29" s="87" t="n">
        <x:v>27</x:v>
      </x:c>
      <x:c r="B29" s="88" t="str">
        <x:f>IF(C29&gt;=82,"A"&amp;1&amp;" — kontakt natychmiast",IF(C29&gt;=72,"A"&amp;2&amp;" — kontakt w 7 dni",IF(C29&gt;=58,"B — kampania regionalna",IF(C29&gt;=42,"C — weryfikacja i nurturing","D — niski priorytet/wykluczyć"))))</x:f>
        <x:v>A2 — kontakt w 7 dni</x:v>
      </x:c>
      <x:c r="C29" s="88" t="n">
        <x:f>MAX(0,MIN(100,SUM(AB29:AG29)-AH29))</x:f>
        <x:v>81</x:v>
      </x:c>
      <x:c r="D29" s="62" t="str">
        <x:v>Tobacco Concept Factory (TCF)</x:v>
      </x:c>
      <x:c r="E29" s="62" t="str">
        <x:v>Potencjalny reseller / odbiorca hurtowy</x:v>
      </x:c>
      <x:c r="F29" s="62" t="str">
        <x:v>S1 — RYO/MYO, gilzy i nabijarki</x:v>
      </x:c>
      <x:c r="G29" s="62" t="str">
        <x:v>Hurt ogólnopolski</x:v>
      </x:c>
      <x:c r="H29" s="62" t="str">
        <x:v>Ogólnopolska</x:v>
      </x:c>
      <x:c r="I29" s="62" t="str"/>
      <x:c r="J29" s="62" t="str">
        <x:v>Duża</x:v>
      </x:c>
      <x:c r="K29" s="62" t="str"/>
      <x:c r="L29" s="62" t="str"/>
      <x:c r="M29" s="62" t="str"/>
      <x:c r="N29" s="62" t="str"/>
      <x:c r="O29" s="62" t="str">
        <x:v>https://tcf.com.pl</x:v>
      </x:c>
      <x:c r="P29" s="62" t="str"/>
      <x:c r="Q29" s="62" t="str"/>
      <x:c r="R29" s="62" t="str"/>
      <x:c r="S29" s="62" t="str">
        <x:v>Akcesoria Tytoniowe | Bibułki &amp; Bletki | Gilzy &amp; Filtry</x:v>
      </x:c>
      <x:c r="T29" s="62" t="str">
        <x:f>IF(AND(K29&lt;&gt;"",L29&lt;&gt;"",O29&lt;&gt;""),"Pełny",IF(OR(K29&lt;&gt;"",L29&lt;&gt;""),"Częściowy","Brak bezpośredniego kontaktu"))</x:f>
        <x:v>Brak bezpośredniego kontaktu</x:v>
      </x:c>
      <x:c r="U29" s="62" t="str">
        <x:v>Nowy</x:v>
      </x:c>
      <x:c r="V29" s="62" t="str">
        <x:v>BILLS — hurt@bills.pl</x:v>
      </x:c>
      <x:c r="W29" s="62" t="str">
        <x:v>E-mail handlowy + telefon follow-up w ciągu 48 godzin</x:v>
      </x:c>
      <x:c r="X29" s="81" t="n">
        <x:f>IF(C29&gt;=82,'Model scoringu'!$B$4,IF(C29&gt;=72,'Model scoringu'!$B$5,IF(C29&gt;=58,'Model scoringu'!$B$6,"")))</x:f>
        <x:v>46227</x:v>
      </x:c>
      <x:c r="Y29" s="62" t="str">
        <x:v>Bezpośrednie dopasowanie do ryo/myo, gilz lub nabijarek; zasięg ponadregionalny.</x:v>
      </x:c>
      <x:c r="Z29" s="62" t="str">
        <x:v>https://tcf.com.pl</x:v>
      </x:c>
      <x:c r="AA29" s="62" t="str">
        <x:v>Major B2B distributor of smoking accessories, tubes, filters, and papers.</x:v>
      </x:c>
      <x:c r="AB29" s="50" t="n">
        <x:v>30</x:v>
      </x:c>
      <x:c r="AC29" s="50" t="n">
        <x:v>18</x:v>
      </x:c>
      <x:c r="AD29" s="50" t="n">
        <x:v>15</x:v>
      </x:c>
      <x:c r="AE29" s="50" t="n">
        <x:v>3</x:v>
      </x:c>
      <x:c r="AF29" s="50" t="n">
        <x:v>10</x:v>
      </x:c>
      <x:c r="AG29" s="50" t="n">
        <x:v>5</x:v>
      </x:c>
      <x:c r="AH29" s="57" t="n">
        <x:v>0</x:v>
      </x:c>
    </x:row>
    <x:row r="30" ht="34" customHeight="1">
      <x:c r="A30" s="87" t="n">
        <x:v>28</x:v>
      </x:c>
      <x:c r="B30" s="88" t="str">
        <x:f>IF(C30&gt;=82,"A"&amp;1&amp;" — kontakt natychmiast",IF(C30&gt;=72,"A"&amp;2&amp;" — kontakt w 7 dni",IF(C30&gt;=58,"B — kampania regionalna",IF(C30&gt;=42,"C — weryfikacja i nurturing","D — niski priorytet/wykluczyć"))))</x:f>
        <x:v>A2 — kontakt w 7 dni</x:v>
      </x:c>
      <x:c r="C30" s="88" t="n">
        <x:f>MAX(0,MIN(100,SUM(AB30:AG30)-AH30))</x:f>
        <x:v>81</x:v>
      </x:c>
      <x:c r="D30" s="62" t="str">
        <x:v>PRODAP</x:v>
      </x:c>
      <x:c r="E30" s="62" t="str">
        <x:v>Potencjalny reseller / odbiorca hurtowy</x:v>
      </x:c>
      <x:c r="F30" s="62" t="str">
        <x:v>S1 — RYO/MYO, gilzy i nabijarki</x:v>
      </x:c>
      <x:c r="G30" s="62" t="str">
        <x:v>Hurt ogólnopolski</x:v>
      </x:c>
      <x:c r="H30" s="62" t="str">
        <x:v>Ogólnopolska</x:v>
      </x:c>
      <x:c r="I30" s="62" t="str"/>
      <x:c r="J30" s="62" t="str">
        <x:v>Średnia</x:v>
      </x:c>
      <x:c r="K30" s="62" t="str"/>
      <x:c r="L30" s="62" t="str"/>
      <x:c r="M30" s="62" t="str"/>
      <x:c r="N30" s="62" t="str"/>
      <x:c r="O30" s="62" t="str">
        <x:v>https://prodap.pl</x:v>
      </x:c>
      <x:c r="P30" s="62" t="str"/>
      <x:c r="Q30" s="62" t="str"/>
      <x:c r="R30" s="62" t="str"/>
      <x:c r="S30" s="62" t="str">
        <x:v>Akcesoria Tytoniowe | Nabijarki &amp; Zwijarki | Powermatic</x:v>
      </x:c>
      <x:c r="T30" s="62" t="str">
        <x:f>IF(AND(K30&lt;&gt;"",L30&lt;&gt;"",O30&lt;&gt;""),"Pełny",IF(OR(K30&lt;&gt;"",L30&lt;&gt;""),"Częściowy","Brak bezpośredniego kontaktu"))</x:f>
        <x:v>Brak bezpośredniego kontaktu</x:v>
      </x:c>
      <x:c r="U30" s="62" t="str">
        <x:v>Nowy</x:v>
      </x:c>
      <x:c r="V30" s="62" t="str">
        <x:v>BILLS — hurt@bills.pl</x:v>
      </x:c>
      <x:c r="W30" s="62" t="str">
        <x:v>E-mail handlowy + telefon follow-up w ciągu 48 godzin</x:v>
      </x:c>
      <x:c r="X30" s="81" t="n">
        <x:f>IF(C30&gt;=82,'Model scoringu'!$B$4,IF(C30&gt;=72,'Model scoringu'!$B$5,IF(C30&gt;=58,'Model scoringu'!$B$6,"")))</x:f>
        <x:v>46227</x:v>
      </x:c>
      <x:c r="Y30" s="62" t="str">
        <x:v>Bezpośrednie dopasowanie do ryo/myo, gilz lub nabijarek; zasięg ponadregionalny.</x:v>
      </x:c>
      <x:c r="Z30" s="62" t="str">
        <x:v>https://prodap.pl</x:v>
      </x:c>
      <x:c r="AA30" s="62" t="str">
        <x:v>Major dedicated distributor specifically for Powermatic injectors and replacement parts.</x:v>
      </x:c>
      <x:c r="AB30" s="50" t="n">
        <x:v>30</x:v>
      </x:c>
      <x:c r="AC30" s="50" t="n">
        <x:v>18</x:v>
      </x:c>
      <x:c r="AD30" s="50" t="n">
        <x:v>15</x:v>
      </x:c>
      <x:c r="AE30" s="50" t="n">
        <x:v>3</x:v>
      </x:c>
      <x:c r="AF30" s="50" t="n">
        <x:v>10</x:v>
      </x:c>
      <x:c r="AG30" s="50" t="n">
        <x:v>5</x:v>
      </x:c>
      <x:c r="AH30" s="57" t="n">
        <x:v>0</x:v>
      </x:c>
    </x:row>
    <x:row r="31" ht="34" customHeight="1">
      <x:c r="A31" s="87" t="n">
        <x:v>29</x:v>
      </x:c>
      <x:c r="B31" s="88" t="str">
        <x:f>IF(C31&gt;=82,"A"&amp;1&amp;" — kontakt natychmiast",IF(C31&gt;=72,"A"&amp;2&amp;" — kontakt w 7 dni",IF(C31&gt;=58,"B — kampania regionalna",IF(C31&gt;=42,"C — weryfikacja i nurturing","D — niski priorytet/wykluczyć"))))</x:f>
        <x:v>A2 — kontakt w 7 dni</x:v>
      </x:c>
      <x:c r="C31" s="88" t="n">
        <x:f>MAX(0,MIN(100,SUM(AB31:AG31)-AH31))</x:f>
        <x:v>80</x:v>
      </x:c>
      <x:c r="D31" s="62" t="str">
        <x:v>M&amp;P PAVLINA Sp. z o.o. Sp.k. / M&amp;P Alkohole Wina Cygara</x:v>
      </x:c>
      <x:c r="E31" s="62" t="str">
        <x:v>Partner dystrybucyjny/importer</x:v>
      </x:c>
      <x:c r="F31" s="62" t="str">
        <x:v>S5 — Cygara i trafiki premium</x:v>
      </x:c>
      <x:c r="G31" s="62" t="str">
        <x:v>Importer/dystrybutor krajowy</x:v>
      </x:c>
      <x:c r="H31" s="62" t="str">
        <x:v>Mazowieckie</x:v>
      </x:c>
      <x:c r="I31" s="62" t="str">
        <x:v>Marki / Karpin</x:v>
      </x:c>
      <x:c r="J31" s="62" t="str">
        <x:v>Duży</x:v>
      </x:c>
      <x:c r="K31" s="62" t="str">
        <x:v>biuro@wina-mp.pl</x:v>
      </x:c>
      <x:c r="L31" s="62" t="str">
        <x:v>+48 22 350 79 30</x:v>
      </x:c>
      <x:c r="M31" s="62" t="str"/>
      <x:c r="N31" s="62" t="str"/>
      <x:c r="O31" s="62" t="str">
        <x:v>https://www.wina-mp.pl</x:v>
      </x:c>
      <x:c r="P31" s="62" t="str">
        <x:v>ul. Leonida Teligi 1A, 05-270 Marki; centrum logistyczne: ul. Warszawska 5, 05-252 Karpin</x:v>
      </x:c>
      <x:c r="Q31" s="62" t="str">
        <x:v>1251632608</x:v>
      </x:c>
      <x:c r="R31" s="62" t="str">
        <x:v>0000578685</x:v>
      </x:c>
      <x:c r="S31" s="62" t="str">
        <x:v>Cygara | Humidory | Zapalniczki | Akcesoria premium | Cygara premium | Akcesoria cygarowe | Alkohole premium</x:v>
      </x:c>
      <x:c r="T31" s="62" t="str">
        <x:f>IF(AND(K31&lt;&gt;"",L31&lt;&gt;"",O31&lt;&gt;""),"Pełny",IF(OR(K31&lt;&gt;"",L31&lt;&gt;""),"Częściowy","Brak bezpośredniego kontaktu"))</x:f>
        <x:v>Pełny</x:v>
      </x:c>
      <x:c r="U31" s="62" t="str">
        <x:v>Nowy</x:v>
      </x:c>
      <x:c r="V31" s="62" t="str">
        <x:v>BILLS — hurt@bills.pl</x:v>
      </x:c>
      <x:c r="W31" s="62" t="str">
        <x:v>E-mail handlowy + telefon follow-up w ciągu 48 godzin</x:v>
      </x:c>
      <x:c r="X31" s="81" t="n">
        <x:f>IF(C31&gt;=82,'Model scoringu'!$B$4,IF(C31&gt;=72,'Model scoringu'!$B$5,IF(C31&gt;=58,'Model scoringu'!$B$6,"")))</x:f>
        <x:v>46227</x:v>
      </x:c>
      <x:c r="Y31" s="62" t="str">
        <x:v>Premium trafiki i specjalistyczne punkty sprzedaży; kompetencje importowo-dystrybucyjne.</x:v>
      </x:c>
      <x:c r="Z31" s="62" t="str">
        <x:v>https://www.wina-mp.pl/index.php/pl/kontakt/klienci-biznesowi | https://wina-mp.pl/index.php/pl/kontakt/biuro | https://www.wina-mp.pl</x:v>
      </x:c>
      <x:c r="AA31" s="62" t="str">
        <x:v>Status źródłowy: Zweryfikowany — aktywna strona/B2B</x:v>
      </x:c>
      <x:c r="AB31" s="50" t="n">
        <x:v>10</x:v>
      </x:c>
      <x:c r="AC31" s="50" t="n">
        <x:v>20</x:v>
      </x:c>
      <x:c r="AD31" s="50" t="n">
        <x:v>15</x:v>
      </x:c>
      <x:c r="AE31" s="50" t="n">
        <x:v>15</x:v>
      </x:c>
      <x:c r="AF31" s="50" t="n">
        <x:v>10</x:v>
      </x:c>
      <x:c r="AG31" s="50" t="n">
        <x:v>10</x:v>
      </x:c>
      <x:c r="AH31" s="57" t="n">
        <x:v>0</x:v>
      </x:c>
    </x:row>
    <x:row r="32" ht="34" customHeight="1">
      <x:c r="A32" s="87" t="n">
        <x:v>30</x:v>
      </x:c>
      <x:c r="B32" s="88" t="str">
        <x:f>IF(C32&gt;=82,"A"&amp;1&amp;" — kontakt natychmiast",IF(C32&gt;=72,"A"&amp;2&amp;" — kontakt w 7 dni",IF(C32&gt;=58,"B — kampania regionalna",IF(C32&gt;=42,"C — weryfikacja i nurturing","D — niski priorytet/wykluczyć"))))</x:f>
        <x:v>A2 — kontakt w 7 dni</x:v>
      </x:c>
      <x:c r="C32" s="88" t="n">
        <x:f>MAX(0,MIN(100,SUM(AB32:AG32)-AH32))</x:f>
        <x:v>80</x:v>
      </x:c>
      <x:c r="D32" s="62" t="str">
        <x:v>Handel Hurtowy i Detaliczny, Beata Czyż w Radom</x:v>
      </x:c>
      <x:c r="E32" s="62" t="str">
        <x:v>Potencjalny reseller / odbiorca hurtowy</x:v>
      </x:c>
      <x:c r="F32" s="62" t="str">
        <x:v>S1 — RYO/MYO, gilzy i nabijarki</x:v>
      </x:c>
      <x:c r="G32" s="62" t="str">
        <x:v>Hurt B2B regionalny</x:v>
      </x:c>
      <x:c r="H32" s="62" t="str">
        <x:v>Mazowieckie</x:v>
      </x:c>
      <x:c r="I32" s="62" t="str">
        <x:v>Radom</x:v>
      </x:c>
      <x:c r="J32" s="62" t="str">
        <x:v>Średnia</x:v>
      </x:c>
      <x:c r="K32" s="62" t="str"/>
      <x:c r="L32" s="62" t="str">
        <x:v>+48 504 08-33-60</x:v>
      </x:c>
      <x:c r="M32" s="62" t="str"/>
      <x:c r="N32" s="62" t="str"/>
      <x:c r="O32" s="62" t="str">
        <x:v>38250-pl.all.biz</x:v>
      </x:c>
      <x:c r="P32" s="62" t="str"/>
      <x:c r="Q32" s="62" t="str"/>
      <x:c r="R32" s="62" t="str"/>
      <x:c r="S32" s="62" t="str">
        <x:v>Gilzy Papierosowe | Nabijarki Do Gilz | Akcesoria Dla Palaczy | Mr Tobacco | DREK | Dark Horse | OCB | Powermatic | Hurtownia</x:v>
      </x:c>
      <x:c r="T32" s="62" t="str">
        <x:f>IF(AND(K32&lt;&gt;"",L32&lt;&gt;"",O32&lt;&gt;""),"Pełny",IF(OR(K32&lt;&gt;"",L32&lt;&gt;""),"Częściowy","Brak bezpośredniego kontaktu"))</x:f>
        <x:v>Częściowy</x:v>
      </x:c>
      <x:c r="U32" s="62" t="str">
        <x:v>Nowy</x:v>
      </x:c>
      <x:c r="V32" s="62" t="str">
        <x:v>BILLS — hurt@bills.pl</x:v>
      </x:c>
      <x:c r="W32" s="62" t="str">
        <x:v>E-mail handlowy + telefon follow-up w ciągu 48 godzin</x:v>
      </x:c>
      <x:c r="X32" s="81" t="n">
        <x:f>IF(C32&gt;=82,'Model scoringu'!$B$4,IF(C32&gt;=72,'Model scoringu'!$B$5,IF(C32&gt;=58,'Model scoringu'!$B$6,"")))</x:f>
        <x:v>46227</x:v>
      </x:c>
      <x:c r="Y32" s="62" t="str">
        <x:v>Bezpośrednie dopasowanie do ryo/myo, gilz lub nabijarek.</x:v>
      </x:c>
      <x:c r="Z32" s="62" t="str">
        <x:v>38250-pl.all.biz</x:v>
      </x:c>
      <x:c r="AA32" s="62" t="str">
        <x:v>Model: Detalista-Z-Hurtem. Asortyment: Gilzy papierosowe (Mr Tobacco, DREK, Dark Horse), nabijarki do gilz (Powermatic 1, Powermatic 2, OCB Mikromatic Duo), akcesoria dla palaczy. Info: Powermatic 1, Powermatic 2, OCB Mikromatic Duo | Status źródłowy: Aktywny</x:v>
      </x:c>
      <x:c r="AB32" s="50" t="n">
        <x:v>30</x:v>
      </x:c>
      <x:c r="AC32" s="50" t="n">
        <x:v>15</x:v>
      </x:c>
      <x:c r="AD32" s="50" t="n">
        <x:v>11</x:v>
      </x:c>
      <x:c r="AE32" s="50" t="n">
        <x:v>7</x:v>
      </x:c>
      <x:c r="AF32" s="50" t="n">
        <x:v>10</x:v>
      </x:c>
      <x:c r="AG32" s="50" t="n">
        <x:v>7</x:v>
      </x:c>
      <x:c r="AH32" s="57" t="n">
        <x:v>0</x:v>
      </x:c>
    </x:row>
    <x:row r="33" ht="34" customHeight="1">
      <x:c r="A33" s="87" t="n">
        <x:v>31</x:v>
      </x:c>
      <x:c r="B33" s="88" t="str">
        <x:f>IF(C33&gt;=82,"A"&amp;1&amp;" — kontakt natychmiast",IF(C33&gt;=72,"A"&amp;2&amp;" — kontakt w 7 dni",IF(C33&gt;=58,"B — kampania regionalna",IF(C33&gt;=42,"C — weryfikacja i nurturing","D — niski priorytet/wykluczyć"))))</x:f>
        <x:v>A2 — kontakt w 7 dni</x:v>
      </x:c>
      <x:c r="C33" s="88" t="n">
        <x:f>MAX(0,MIN(100,SUM(AB33:AG33)-AH33))</x:f>
        <x:v>80</x:v>
      </x:c>
      <x:c r="D33" s="62" t="str">
        <x:v>TwojePapierosy.pl</x:v>
      </x:c>
      <x:c r="E33" s="62" t="str">
        <x:v>Potencjalny reseller / odbiorca hurtowy</x:v>
      </x:c>
      <x:c r="F33" s="62" t="str">
        <x:v>S1 — RYO/MYO, gilzy i nabijarki</x:v>
      </x:c>
      <x:c r="G33" s="62" t="str">
        <x:v>Hurt B2B + detal</x:v>
      </x:c>
      <x:c r="H33" s="62" t="str">
        <x:v>Ogólnopolska</x:v>
      </x:c>
      <x:c r="I33" s="62" t="str">
        <x:v>Ogólnopolska</x:v>
      </x:c>
      <x:c r="J33" s="62" t="str">
        <x:v>Średni</x:v>
      </x:c>
      <x:c r="K33" s="62" t="str"/>
      <x:c r="L33" s="62" t="str"/>
      <x:c r="M33" s="62" t="str"/>
      <x:c r="N33" s="62" t="str"/>
      <x:c r="O33" s="62" t="str">
        <x:v>https://twojepapierosy.pl</x:v>
      </x:c>
      <x:c r="P33" s="62" t="str">
        <x:v>Online (Poland-wide)</x:v>
      </x:c>
      <x:c r="Q33" s="62" t="str"/>
      <x:c r="R33" s="62" t="str"/>
      <x:c r="S33" s="62" t="str">
        <x:v>Akcesoria Tytoniowe | Nabijarki &amp; Zwijarki | Papierosy | Tytoń | Hurt | Sklep Tytoniowy</x:v>
      </x:c>
      <x:c r="T33" s="62" t="str">
        <x:f>IF(AND(K33&lt;&gt;"",L33&lt;&gt;"",O33&lt;&gt;""),"Pełny",IF(OR(K33&lt;&gt;"",L33&lt;&gt;""),"Częściowy","Brak bezpośredniego kontaktu"))</x:f>
        <x:v>Brak bezpośredniego kontaktu</x:v>
      </x:c>
      <x:c r="U33" s="62" t="str">
        <x:v>Nowy</x:v>
      </x:c>
      <x:c r="V33" s="62" t="str">
        <x:v>BILLS — hurt@bills.pl</x:v>
      </x:c>
      <x:c r="W33" s="62" t="str">
        <x:v>E-mail handlowy + telefon follow-up w ciągu 48 godzin</x:v>
      </x:c>
      <x:c r="X33" s="81" t="n">
        <x:f>IF(C33&gt;=82,'Model scoringu'!$B$4,IF(C33&gt;=72,'Model scoringu'!$B$5,IF(C33&gt;=58,'Model scoringu'!$B$6,"")))</x:f>
        <x:v>46227</x:v>
      </x:c>
      <x:c r="Y33" s="62" t="str">
        <x:v>Bezpośrednie dopasowanie do ryo/myo, gilz lub nabijarek; zasięg ponadregionalny.</x:v>
      </x:c>
      <x:c r="Z33" s="62" t="str">
        <x:v>https://twojepapierosy.pl</x:v>
      </x:c>
      <x:c r="AA33" s="62" t="str">
        <x:v>TAK | Status źródłowy: Niezweryfikowany</x:v>
      </x:c>
      <x:c r="AB33" s="50" t="n">
        <x:v>30</x:v>
      </x:c>
      <x:c r="AC33" s="50" t="n">
        <x:v>15</x:v>
      </x:c>
      <x:c r="AD33" s="50" t="n">
        <x:v>15</x:v>
      </x:c>
      <x:c r="AE33" s="50" t="n">
        <x:v>5</x:v>
      </x:c>
      <x:c r="AF33" s="50" t="n">
        <x:v>10</x:v>
      </x:c>
      <x:c r="AG33" s="50" t="n">
        <x:v>10</x:v>
      </x:c>
      <x:c r="AH33" s="57" t="n">
        <x:v>5</x:v>
      </x:c>
    </x:row>
    <x:row r="34" ht="34" customHeight="1">
      <x:c r="A34" s="87" t="n">
        <x:v>32</x:v>
      </x:c>
      <x:c r="B34" s="88" t="str">
        <x:f>IF(C34&gt;=82,"A"&amp;1&amp;" — kontakt natychmiast",IF(C34&gt;=72,"A"&amp;2&amp;" — kontakt w 7 dni",IF(C34&gt;=58,"B — kampania regionalna",IF(C34&gt;=42,"C — weryfikacja i nurturing","D — niski priorytet/wykluczyć"))))</x:f>
        <x:v>A2 — kontakt w 7 dni</x:v>
      </x:c>
      <x:c r="C34" s="88" t="n">
        <x:f>MAX(0,MIN(100,SUM(AB34:AG34)-AH34))</x:f>
        <x:v>80</x:v>
      </x:c>
      <x:c r="D34" s="62" t="str">
        <x:v>Hurtownia Kaziool</x:v>
      </x:c>
      <x:c r="E34" s="62" t="str">
        <x:v>Potencjalny reseller / odbiorca hurtowy</x:v>
      </x:c>
      <x:c r="F34" s="62" t="str">
        <x:v>S1 — RYO/MYO, gilzy i nabijarki</x:v>
      </x:c>
      <x:c r="G34" s="62" t="str">
        <x:v>Hurt ogólnopolski</x:v>
      </x:c>
      <x:c r="H34" s="62" t="str">
        <x:v>Ogólnopolska</x:v>
      </x:c>
      <x:c r="I34" s="62" t="str"/>
      <x:c r="J34" s="62" t="str">
        <x:v>Mały</x:v>
      </x:c>
      <x:c r="K34" s="62" t="str"/>
      <x:c r="L34" s="62" t="str"/>
      <x:c r="M34" s="62" t="str"/>
      <x:c r="N34" s="62" t="str"/>
      <x:c r="O34" s="62" t="str">
        <x:v>https://kaziool.pl</x:v>
      </x:c>
      <x:c r="P34" s="62" t="str">
        <x:v>Poland</x:v>
      </x:c>
      <x:c r="Q34" s="62" t="str"/>
      <x:c r="R34" s="62" t="str"/>
      <x:c r="S34" s="62" t="str">
        <x:v>Akcesoria Tytoniowe | Nabijarki &amp; Zwijarki | Papierosy | Manual cigarette tube injectors | Maszynki do gilz | Slim and standard tube machines | Rdzeń systemu nabijarek</x:v>
      </x:c>
      <x:c r="T34" s="62" t="str">
        <x:f>IF(AND(K34&lt;&gt;"",L34&lt;&gt;"",O34&lt;&gt;""),"Pełny",IF(OR(K34&lt;&gt;"",L34&lt;&gt;""),"Częściowy","Brak bezpośredniego kontaktu"))</x:f>
        <x:v>Brak bezpośredniego kontaktu</x:v>
      </x:c>
      <x:c r="U34" s="62" t="str">
        <x:v>Nowy</x:v>
      </x:c>
      <x:c r="V34" s="62" t="str">
        <x:v>BILLS — hurt@bills.pl</x:v>
      </x:c>
      <x:c r="W34" s="62" t="str">
        <x:v>E-mail handlowy + telefon follow-up w ciągu 48 godzin</x:v>
      </x:c>
      <x:c r="X34" s="81" t="n">
        <x:f>IF(C34&gt;=82,'Model scoringu'!$B$4,IF(C34&gt;=72,'Model scoringu'!$B$5,IF(C34&gt;=58,'Model scoringu'!$B$6,"")))</x:f>
        <x:v>46227</x:v>
      </x:c>
      <x:c r="Y34" s="62" t="str">
        <x:v>Bezpośrednie dopasowanie do ryo/myo, gilz lub nabijarek; zasięg ponadregionalny.</x:v>
      </x:c>
      <x:c r="Z34" s="62" t="str">
        <x:v>https://kaziool.pl</x:v>
      </x:c>
      <x:c r="AA34" s="62" t="str">
        <x:v>Nie potwierdzone | Status źródłowy: Aktywny</x:v>
      </x:c>
      <x:c r="AB34" s="50" t="n">
        <x:v>30</x:v>
      </x:c>
      <x:c r="AC34" s="50" t="n">
        <x:v>18</x:v>
      </x:c>
      <x:c r="AD34" s="50" t="n">
        <x:v>15</x:v>
      </x:c>
      <x:c r="AE34" s="50" t="n">
        <x:v>5</x:v>
      </x:c>
      <x:c r="AF34" s="50" t="n">
        <x:v>10</x:v>
      </x:c>
      <x:c r="AG34" s="50" t="n">
        <x:v>7</x:v>
      </x:c>
      <x:c r="AH34" s="57" t="n">
        <x:v>5</x:v>
      </x:c>
    </x:row>
    <x:row r="35" ht="34" customHeight="1">
      <x:c r="A35" s="87" t="n">
        <x:v>33</x:v>
      </x:c>
      <x:c r="B35" s="88" t="str">
        <x:f>IF(C35&gt;=82,"A"&amp;1&amp;" — kontakt natychmiast",IF(C35&gt;=72,"A"&amp;2&amp;" — kontakt w 7 dni",IF(C35&gt;=58,"B — kampania regionalna",IF(C35&gt;=42,"C — weryfikacja i nurturing","D — niski priorytet/wykluczyć"))))</x:f>
        <x:v>A2 — kontakt w 7 dni</x:v>
      </x:c>
      <x:c r="C35" s="88" t="n">
        <x:f>MAX(0,MIN(100,SUM(AB35:AG35)-AH35))</x:f>
        <x:v>79</x:v>
      </x:c>
      <x:c r="D35" s="62" t="str">
        <x:v>Polski Tytoń PHP S.A.</x:v>
      </x:c>
      <x:c r="E35" s="62" t="str">
        <x:v>Partner cross-sell / kanał sąsiedni</x:v>
      </x:c>
      <x:c r="F35" s="62" t="str">
        <x:v>S4 — Vape/e-papierosy</x:v>
      </x:c>
      <x:c r="G35" s="62" t="str">
        <x:v>Hurt ogólnopolski</x:v>
      </x:c>
      <x:c r="H35" s="62" t="str">
        <x:v>Ogólnopolska</x:v>
      </x:c>
      <x:c r="I35" s="62" t="str">
        <x:v>Nationwide (Białystok, Bydgoszcz, Łódź, Warszawa, Lublin, +12 More)</x:v>
      </x:c>
      <x:c r="J35" s="62" t="str">
        <x:v>Duży</x:v>
      </x:c>
      <x:c r="K35" s="62" t="str">
        <x:v>sekretariat@polskityton.pl</x:v>
      </x:c>
      <x:c r="L35" s="62" t="str">
        <x:v>+48 48 341 32 00</x:v>
      </x:c>
      <x:c r="M35" s="62" t="str"/>
      <x:c r="N35" s="62" t="str"/>
      <x:c r="O35" s="62" t="str">
        <x:v>https://polskityton.pl</x:v>
      </x:c>
      <x:c r="P35" s="62" t="str">
        <x:v>Tartaczna 29, 26-612 Radom, Polska</x:v>
      </x:c>
      <x:c r="Q35" s="62" t="str">
        <x:v>9482622620</x:v>
      </x:c>
      <x:c r="R35" s="62" t="str">
        <x:v>0000386390499</x:v>
      </x:c>
      <x:c r="S35" s="62" t="str">
        <x:v>Akcesoria Tytoniowe | Papierosy | Tytoń | Vape &amp; E-papierosy | Hurt | Sklep Tytoniowy</x:v>
      </x:c>
      <x:c r="T35" s="62" t="str">
        <x:f>IF(AND(K35&lt;&gt;"",L35&lt;&gt;"",O35&lt;&gt;""),"Pełny",IF(OR(K35&lt;&gt;"",L35&lt;&gt;""),"Częściowy","Brak bezpośredniego kontaktu"))</x:f>
        <x:v>Pełny</x:v>
      </x:c>
      <x:c r="U35" s="62" t="str">
        <x:v>Nowy</x:v>
      </x:c>
      <x:c r="V35" s="62" t="str">
        <x:v>BILLS — hurt@bills.pl</x:v>
      </x:c>
      <x:c r="W35" s="62" t="str">
        <x:v>E-mail handlowy + telefon follow-up w ciągu 48 godzin</x:v>
      </x:c>
      <x:c r="X35" s="81" t="n">
        <x:f>IF(C35&gt;=82,'Model scoringu'!$B$4,IF(C35&gt;=72,'Model scoringu'!$B$5,IF(C35&gt;=58,'Model scoringu'!$B$6,"")))</x:f>
        <x:v>46227</x:v>
      </x:c>
      <x:c r="Y35" s="62" t="str">
        <x:v>Kanał sąsiedni z bazą klientów zainteresowanych produktami nikotynowymi; zasięg ponadregionalny.</x:v>
      </x:c>
      <x:c r="Z35" s="62" t="str">
        <x:v>https://polskityton.pl</x:v>
      </x:c>
      <x:c r="AA35" s="62" t="str">
        <x:v>Nie potwierdzone | Status źródłowy: Niezweryfikowany</x:v>
      </x:c>
      <x:c r="AB35" s="50" t="n">
        <x:v>11</x:v>
      </x:c>
      <x:c r="AC35" s="50" t="n">
        <x:v>18</x:v>
      </x:c>
      <x:c r="AD35" s="50" t="n">
        <x:v>15</x:v>
      </x:c>
      <x:c r="AE35" s="50" t="n">
        <x:v>15</x:v>
      </x:c>
      <x:c r="AF35" s="50" t="n">
        <x:v>10</x:v>
      </x:c>
      <x:c r="AG35" s="50" t="n">
        <x:v>10</x:v>
      </x:c>
      <x:c r="AH35" s="57" t="n">
        <x:v>0</x:v>
      </x:c>
    </x:row>
    <x:row r="36" ht="34" customHeight="1">
      <x:c r="A36" s="87" t="n">
        <x:v>34</x:v>
      </x:c>
      <x:c r="B36" s="88" t="str">
        <x:f>IF(C36&gt;=82,"A"&amp;1&amp;" — kontakt natychmiast",IF(C36&gt;=72,"A"&amp;2&amp;" — kontakt w 7 dni",IF(C36&gt;=58,"B — kampania regionalna",IF(C36&gt;=42,"C — weryfikacja i nurturing","D — niski priorytet/wykluczyć"))))</x:f>
        <x:v>A2 — kontakt w 7 dni</x:v>
      </x:c>
      <x:c r="C36" s="88" t="n">
        <x:f>MAX(0,MIN(100,SUM(AB36:AG36)-AH36))</x:f>
        <x:v>79</x:v>
      </x:c>
      <x:c r="D36" s="62" t="str">
        <x:v>PGT — Polska Grupa Tytoniowa</x:v>
      </x:c>
      <x:c r="E36" s="62" t="str">
        <x:v>Partner cross-sell / kanał sąsiedni</x:v>
      </x:c>
      <x:c r="F36" s="62" t="str">
        <x:v>S4 — Vape/e-papierosy</x:v>
      </x:c>
      <x:c r="G36" s="62" t="str">
        <x:v>Hurt ogólnopolski</x:v>
      </x:c>
      <x:c r="H36" s="62" t="str">
        <x:v>Pomorskie</x:v>
      </x:c>
      <x:c r="I36" s="62" t="str">
        <x:v>Myślibórz</x:v>
      </x:c>
      <x:c r="J36" s="62" t="str">
        <x:v>Duży</x:v>
      </x:c>
      <x:c r="K36" s="62" t="str">
        <x:v>biuro@polskagt.pl</x:v>
      </x:c>
      <x:c r="L36" s="62" t="str">
        <x:v>+48 502 399 832</x:v>
      </x:c>
      <x:c r="M36" s="62" t="str"/>
      <x:c r="N36" s="62" t="str"/>
      <x:c r="O36" s="62" t="str">
        <x:v>https://polskagt.pl</x:v>
      </x:c>
      <x:c r="P36" s="62" t="str">
        <x:v>Multiple locations: Myślibórz, Bydgoszcz, Łódź, Warszawa, Piekary Śląskie</x:v>
      </x:c>
      <x:c r="Q36" s="62" t="str">
        <x:v>4980260426</x:v>
      </x:c>
      <x:c r="R36" s="62" t="str"/>
      <x:c r="S36" s="62" t="str">
        <x:v>Headshop (Bonga, Shisha) | Papierosy | Tytoń | Vape &amp; E-papierosy | Al Fakher | Colts | Dinner Lady | Killa | Nice | Pablo | Akcesoria | Rdzeń systemu nabijarek</x:v>
      </x:c>
      <x:c r="T36" s="62" t="str">
        <x:f>IF(AND(K36&lt;&gt;"",L36&lt;&gt;"",O36&lt;&gt;""),"Pełny",IF(OR(K36&lt;&gt;"",L36&lt;&gt;""),"Częściowy","Brak bezpośredniego kontaktu"))</x:f>
        <x:v>Pełny</x:v>
      </x:c>
      <x:c r="U36" s="62" t="str">
        <x:v>Nowy</x:v>
      </x:c>
      <x:c r="V36" s="62" t="str">
        <x:v>BILLS — hurt@bills.pl</x:v>
      </x:c>
      <x:c r="W36" s="62" t="str">
        <x:v>E-mail handlowy + telefon follow-up w ciągu 48 godzin</x:v>
      </x:c>
      <x:c r="X36" s="81" t="n">
        <x:f>IF(C36&gt;=82,'Model scoringu'!$B$4,IF(C36&gt;=72,'Model scoringu'!$B$5,IF(C36&gt;=58,'Model scoringu'!$B$6,"")))</x:f>
        <x:v>46227</x:v>
      </x:c>
      <x:c r="Y36" s="62" t="str">
        <x:v>Kanał sąsiedni z bazą klientów zainteresowanych produktami nikotynowymi; zasięg ponadregionalny.</x:v>
      </x:c>
      <x:c r="Z36" s="62" t="str">
        <x:v>https://polskagt.pl</x:v>
      </x:c>
      <x:c r="AA36" s="62" t="str">
        <x:v>Nie potwierdzone | Status źródłowy: Dostępny w katalogu</x:v>
      </x:c>
      <x:c r="AB36" s="50" t="n">
        <x:v>11</x:v>
      </x:c>
      <x:c r="AC36" s="50" t="n">
        <x:v>18</x:v>
      </x:c>
      <x:c r="AD36" s="50" t="n">
        <x:v>15</x:v>
      </x:c>
      <x:c r="AE36" s="50" t="n">
        <x:v>15</x:v>
      </x:c>
      <x:c r="AF36" s="50" t="n">
        <x:v>10</x:v>
      </x:c>
      <x:c r="AG36" s="50" t="n">
        <x:v>10</x:v>
      </x:c>
      <x:c r="AH36" s="57" t="n">
        <x:v>0</x:v>
      </x:c>
    </x:row>
    <x:row r="37" ht="34" customHeight="1">
      <x:c r="A37" s="87" t="n">
        <x:v>35</x:v>
      </x:c>
      <x:c r="B37" s="88" t="str">
        <x:f>IF(C37&gt;=82,"A"&amp;1&amp;" — kontakt natychmiast",IF(C37&gt;=72,"A"&amp;2&amp;" — kontakt w 7 dni",IF(C37&gt;=58,"B — kampania regionalna",IF(C37&gt;=42,"C — weryfikacja i nurturing","D — niski priorytet/wykluczyć"))))</x:f>
        <x:v>A2 — kontakt w 7 dni</x:v>
      </x:c>
      <x:c r="C37" s="88" t="n">
        <x:f>MAX(0,MIN(100,SUM(AB37:AG37)-AH37))</x:f>
        <x:v>79</x:v>
      </x:c>
      <x:c r="D37" s="62" t="str">
        <x:v>Orion Tobacco Poland Sp. z o.o.</x:v>
      </x:c>
      <x:c r="E37" s="62" t="str">
        <x:v>Partner strategiczny / możliwy konflikt produktowy</x:v>
      </x:c>
      <x:c r="F37" s="62" t="str">
        <x:v>S1 — RYO/MYO, gilzy i nabijarki</x:v>
      </x:c>
      <x:c r="G37" s="62" t="str">
        <x:v>Producent</x:v>
      </x:c>
      <x:c r="H37" s="62" t="str">
        <x:v>Mazowieckie</x:v>
      </x:c>
      <x:c r="I37" s="62" t="str">
        <x:v>Goszczyn</x:v>
      </x:c>
      <x:c r="J37" s="62" t="str">
        <x:v>Duży</x:v>
      </x:c>
      <x:c r="K37" s="62" t="str">
        <x:v>karolina@orion.mail.pl; orion@orion.mail.pl</x:v>
      </x:c>
      <x:c r="L37" s="62" t="str">
        <x:v>+48 48 663 25 46; +48 48 663 28 10</x:v>
      </x:c>
      <x:c r="M37" s="62" t="str">
        <x:v>Karolina Kornaszewska</x:v>
      </x:c>
      <x:c r="N37" s="62" t="str">
        <x:v>Dział sprzedaży krajowej</x:v>
      </x:c>
      <x:c r="O37" s="62" t="str">
        <x:v>https://orion-orion.pl</x:v>
      </x:c>
      <x:c r="P37" s="62" t="str">
        <x:v>Jakubów 5, 05-610 Goszczyn</x:v>
      </x:c>
      <x:c r="Q37" s="62" t="str"/>
      <x:c r="R37" s="62" t="str"/>
      <x:c r="S37" s="62" t="str">
        <x:v>Akcesoria Tytoniowe | Nabijarki &amp; Zwijarki | Tytoń | Cigarette tubes | Filling machines | Filter tips | Fine-cut tobacco | Rollers | Rolling papers | Rdzeń systemu nabijarek</x:v>
      </x:c>
      <x:c r="T37" s="62" t="str">
        <x:f>IF(AND(K37&lt;&gt;"",L37&lt;&gt;"",O37&lt;&gt;""),"Pełny",IF(OR(K37&lt;&gt;"",L37&lt;&gt;""),"Częściowy","Brak bezpośredniego kontaktu"))</x:f>
        <x:v>Pełny</x:v>
      </x:c>
      <x:c r="U37" s="62" t="str">
        <x:v>Nowy</x:v>
      </x:c>
      <x:c r="V37" s="62" t="str">
        <x:v>BILLS — hurt@bills.pl</x:v>
      </x:c>
      <x:c r="W37" s="62" t="str">
        <x:v>Rozmowa strategiczna z dyrektorem handlowym; bez standardowego cold maila</x:v>
      </x:c>
      <x:c r="X37" s="81" t="n">
        <x:f>IF(C37&gt;=82,'Model scoringu'!$B$4,IF(C37&gt;=72,'Model scoringu'!$B$5,IF(C37&gt;=58,'Model scoringu'!$B$6,"")))</x:f>
        <x:v>46227</x:v>
      </x:c>
      <x:c r="Y37" s="62" t="str">
        <x:v>Bezpośrednie dopasowanie do ryo/myo, gilz lub nabijarek; wymaga rozmowy strategicznej zamiast standardowej oferty.</x:v>
      </x:c>
      <x:c r="Z37" s="62" t="str">
        <x:v>https://orion-orion.pl/kontakt-3/ | https://orion-orion.pl</x:v>
      </x:c>
      <x:c r="AA37" s="62" t="str">
        <x:v>Producent gilz, filtrów, tytoniu i akcesoriów. Możliwy konflikt produktowy; kontakt strategiczny. | Nie potwierdzone | Status źródłowy: Dostępny w katalogu</x:v>
      </x:c>
      <x:c r="AB37" s="50" t="n">
        <x:v>30</x:v>
      </x:c>
      <x:c r="AC37" s="50" t="n">
        <x:v>7</x:v>
      </x:c>
      <x:c r="AD37" s="50" t="n">
        <x:v>15</x:v>
      </x:c>
      <x:c r="AE37" s="50" t="n">
        <x:v>15</x:v>
      </x:c>
      <x:c r="AF37" s="50" t="n">
        <x:v>10</x:v>
      </x:c>
      <x:c r="AG37" s="50" t="n">
        <x:v>10</x:v>
      </x:c>
      <x:c r="AH37" s="57" t="n">
        <x:v>8</x:v>
      </x:c>
    </x:row>
    <x:row r="38" ht="34" customHeight="1">
      <x:c r="A38" s="87" t="n">
        <x:v>36</x:v>
      </x:c>
      <x:c r="B38" s="88" t="str">
        <x:f>IF(C38&gt;=82,"A"&amp;1&amp;" — kontakt natychmiast",IF(C38&gt;=72,"A"&amp;2&amp;" — kontakt w 7 dni",IF(C38&gt;=58,"B — kampania regionalna",IF(C38&gt;=42,"C — weryfikacja i nurturing","D — niski priorytet/wykluczyć"))))</x:f>
        <x:v>A2 — kontakt w 7 dni</x:v>
      </x:c>
      <x:c r="C38" s="88" t="n">
        <x:f>MAX(0,MIN(100,SUM(AB38:AG38)-AH38))</x:f>
        <x:v>78</x:v>
      </x:c>
      <x:c r="D38" s="62" t="str">
        <x:v>Wasserman</x:v>
      </x:c>
      <x:c r="E38" s="62" t="str">
        <x:v>Potencjalny reseller / odbiorca hurtowy</x:v>
      </x:c>
      <x:c r="F38" s="62" t="str">
        <x:v>S1 — RYO/MYO, gilzy i nabijarki</x:v>
      </x:c>
      <x:c r="G38" s="62" t="str">
        <x:v>Hurt B2B + detal</x:v>
      </x:c>
      <x:c r="H38" s="62" t="str">
        <x:v>Pomorskie</x:v>
      </x:c>
      <x:c r="I38" s="62" t="str">
        <x:v>Szczecin</x:v>
      </x:c>
      <x:c r="J38" s="62" t="str">
        <x:v>Nieustalona</x:v>
      </x:c>
      <x:c r="K38" s="62" t="str">
        <x:v>sklep@wasserman.pl</x:v>
      </x:c>
      <x:c r="L38" s="62" t="str"/>
      <x:c r="M38" s="62" t="str"/>
      <x:c r="N38" s="62" t="str"/>
      <x:c r="O38" s="62" t="str">
        <x:v>https://www.wasserman.eu</x:v>
      </x:c>
      <x:c r="P38" s="62" t="str">
        <x:v>Szczecin, Poland</x:v>
      </x:c>
      <x:c r="Q38" s="62" t="str"/>
      <x:c r="R38" s="62" t="str"/>
      <x:c r="S38" s="62" t="str">
        <x:v>Nabijarki &amp; Zwijarki | Gerui | Various unbranded | Elektronika | Różne</x:v>
      </x:c>
      <x:c r="T38" s="62" t="str">
        <x:f>IF(AND(K38&lt;&gt;"",L38&lt;&gt;"",O38&lt;&gt;""),"Pełny",IF(OR(K38&lt;&gt;"",L38&lt;&gt;""),"Częściowy","Brak bezpośredniego kontaktu"))</x:f>
        <x:v>Częściowy</x:v>
      </x:c>
      <x:c r="U38" s="62" t="str">
        <x:v>Nowy</x:v>
      </x:c>
      <x:c r="V38" s="62" t="str">
        <x:v>BILLS — hurt@bills.pl</x:v>
      </x:c>
      <x:c r="W38" s="62" t="str">
        <x:v>E-mail handlowy + telefon follow-up w ciągu 48 godzin</x:v>
      </x:c>
      <x:c r="X38" s="81" t="n">
        <x:f>IF(C38&gt;=82,'Model scoringu'!$B$4,IF(C38&gt;=72,'Model scoringu'!$B$5,IF(C38&gt;=58,'Model scoringu'!$B$6,"")))</x:f>
        <x:v>46227</x:v>
      </x:c>
      <x:c r="Y38" s="62" t="str">
        <x:v>Bezpośrednie dopasowanie do ryo/myo, gilz lub nabijarek.</x:v>
      </x:c>
      <x:c r="Z38" s="62" t="str">
        <x:v>https://www.wasserman.eu</x:v>
      </x:c>
      <x:c r="AA38" s="62" t="str">
        <x:v>Status źródłowy: Aktywny</x:v>
      </x:c>
      <x:c r="AB38" s="50" t="n">
        <x:v>30</x:v>
      </x:c>
      <x:c r="AC38" s="50" t="n">
        <x:v>15</x:v>
      </x:c>
      <x:c r="AD38" s="50" t="n">
        <x:v>7</x:v>
      </x:c>
      <x:c r="AE38" s="50" t="n">
        <x:v>11</x:v>
      </x:c>
      <x:c r="AF38" s="50" t="n">
        <x:v>8</x:v>
      </x:c>
      <x:c r="AG38" s="50" t="n">
        <x:v>7</x:v>
      </x:c>
      <x:c r="AH38" s="57" t="n">
        <x:v>0</x:v>
      </x:c>
    </x:row>
    <x:row r="39" ht="34" customHeight="1">
      <x:c r="A39" s="87" t="n">
        <x:v>37</x:v>
      </x:c>
      <x:c r="B39" s="88" t="str">
        <x:f>IF(C39&gt;=82,"A"&amp;1&amp;" — kontakt natychmiast",IF(C39&gt;=72,"A"&amp;2&amp;" — kontakt w 7 dni",IF(C39&gt;=58,"B — kampania regionalna",IF(C39&gt;=42,"C — weryfikacja i nurturing","D — niski priorytet/wykluczyć"))))</x:f>
        <x:v>A2 — kontakt w 7 dni</x:v>
      </x:c>
      <x:c r="C39" s="88" t="n">
        <x:f>MAX(0,MIN(100,SUM(AB39:AG39)-AH39))</x:f>
        <x:v>78</x:v>
      </x:c>
      <x:c r="D39" s="62" t="str">
        <x:v>Shishka79.pl</x:v>
      </x:c>
      <x:c r="E39" s="62" t="str">
        <x:v>Potencjalny reseller / odbiorca hurtowy</x:v>
      </x:c>
      <x:c r="F39" s="62" t="str">
        <x:v>S1 — RYO/MYO, gilzy i nabijarki</x:v>
      </x:c>
      <x:c r="G39" s="62" t="str">
        <x:v>Hurt ogólnopolski</x:v>
      </x:c>
      <x:c r="H39" s="62" t="str">
        <x:v>Ogólnopolska</x:v>
      </x:c>
      <x:c r="I39" s="62" t="str">
        <x:v>Ogólnopolska</x:v>
      </x:c>
      <x:c r="J39" s="62" t="str">
        <x:v>Średni</x:v>
      </x:c>
      <x:c r="K39" s="62" t="str"/>
      <x:c r="L39" s="62" t="str"/>
      <x:c r="M39" s="62" t="str"/>
      <x:c r="N39" s="62" t="str"/>
      <x:c r="O39" s="62" t="str">
        <x:v>https://www.shishka79.pl/180-nabijarki-tlokowe</x:v>
      </x:c>
      <x:c r="P39" s="62" t="str">
        <x:v>Poland-wide, Polska</x:v>
      </x:c>
      <x:c r="Q39" s="62" t="str"/>
      <x:c r="R39" s="62" t="str"/>
      <x:c r="S39" s="62" t="str">
        <x:v>Nabijarki &amp; Zwijarki | Papierosy | Akcesoria | Tytoń | Vape</x:v>
      </x:c>
      <x:c r="T39" s="62" t="str">
        <x:f>IF(AND(K39&lt;&gt;"",L39&lt;&gt;"",O39&lt;&gt;""),"Pełny",IF(OR(K39&lt;&gt;"",L39&lt;&gt;""),"Częściowy","Brak bezpośredniego kontaktu"))</x:f>
        <x:v>Brak bezpośredniego kontaktu</x:v>
      </x:c>
      <x:c r="U39" s="62" t="str">
        <x:v>Nowy</x:v>
      </x:c>
      <x:c r="V39" s="62" t="str">
        <x:v>BILLS — hurt@bills.pl</x:v>
      </x:c>
      <x:c r="W39" s="62" t="str">
        <x:v>E-mail handlowy + telefon follow-up w ciągu 48 godzin</x:v>
      </x:c>
      <x:c r="X39" s="81" t="n">
        <x:f>IF(C39&gt;=82,'Model scoringu'!$B$4,IF(C39&gt;=72,'Model scoringu'!$B$5,IF(C39&gt;=58,'Model scoringu'!$B$6,"")))</x:f>
        <x:v>46227</x:v>
      </x:c>
      <x:c r="Y39" s="62" t="str">
        <x:v>Bezpośrednie dopasowanie do ryo/myo, gilz lub nabijarek; zasięg ponadregionalny.</x:v>
      </x:c>
      <x:c r="Z39" s="62" t="str">
        <x:v>https://www.shishka79.pl/180-nabijarki-tlokowe</x:v>
      </x:c>
      <x:c r="AA39" s="62" t="str">
        <x:v>Dodano z hurtownicy_pl_127.html; Asortyment: Piston injectors for cigarettes | Status źródłowy: Aktywny</x:v>
      </x:c>
      <x:c r="AB39" s="50" t="n">
        <x:v>30</x:v>
      </x:c>
      <x:c r="AC39" s="50" t="n">
        <x:v>18</x:v>
      </x:c>
      <x:c r="AD39" s="50" t="n">
        <x:v>15</x:v>
      </x:c>
      <x:c r="AE39" s="50" t="n">
        <x:v>5</x:v>
      </x:c>
      <x:c r="AF39" s="50" t="n">
        <x:v>3</x:v>
      </x:c>
      <x:c r="AG39" s="50" t="n">
        <x:v>7</x:v>
      </x:c>
      <x:c r="AH39" s="57" t="n">
        <x:v>0</x:v>
      </x:c>
    </x:row>
    <x:row r="40" ht="34" customHeight="1">
      <x:c r="A40" s="87" t="n">
        <x:v>38</x:v>
      </x:c>
      <x:c r="B40" s="88" t="str">
        <x:f>IF(C40&gt;=82,"A"&amp;1&amp;" — kontakt natychmiast",IF(C40&gt;=72,"A"&amp;2&amp;" — kontakt w 7 dni",IF(C40&gt;=58,"B — kampania regionalna",IF(C40&gt;=42,"C — weryfikacja i nurturing","D — niski priorytet/wykluczyć"))))</x:f>
        <x:v>A2 — kontakt w 7 dni</x:v>
      </x:c>
      <x:c r="C40" s="88" t="n">
        <x:f>MAX(0,MIN(100,SUM(AB40:AG40)-AH40))</x:f>
        <x:v>78</x:v>
      </x:c>
      <x:c r="D40" s="62" t="str">
        <x:v>P.H.U. TOP Sp.j. S. Magiera i wspólnicy / Silverado</x:v>
      </x:c>
      <x:c r="E40" s="62" t="str">
        <x:v>Potencjalny reseller / odbiorca hurtowy</x:v>
      </x:c>
      <x:c r="F40" s="62" t="str">
        <x:v>S1 — RYO/MYO, gilzy i nabijarki</x:v>
      </x:c>
      <x:c r="G40" s="62" t="str">
        <x:v>Hurt B2B regionalny</x:v>
      </x:c>
      <x:c r="H40" s="62" t="str">
        <x:v>Dolnośląskie</x:v>
      </x:c>
      <x:c r="I40" s="62" t="str">
        <x:v>Wrocław</x:v>
      </x:c>
      <x:c r="J40" s="62" t="str">
        <x:v>Średni</x:v>
      </x:c>
      <x:c r="K40" s="62" t="str"/>
      <x:c r="L40" s="62" t="str"/>
      <x:c r="M40" s="62" t="str"/>
      <x:c r="N40" s="62" t="str"/>
      <x:c r="O40" s="62" t="str">
        <x:v>https://www.silverado-top.pl</x:v>
      </x:c>
      <x:c r="P40" s="62" t="str">
        <x:v>ul. Metalowców 25, 54-156 Wrocław</x:v>
      </x:c>
      <x:c r="Q40" s="62" t="str"/>
      <x:c r="R40" s="62" t="str"/>
      <x:c r="S40" s="62" t="str">
        <x:v>Papierosy | Gilzy papierosowe | Akcesoria Tytoniowe | Tytoń | FMCG | Akcesoria</x:v>
      </x:c>
      <x:c r="T40" s="62" t="str">
        <x:f>IF(AND(K40&lt;&gt;"",L40&lt;&gt;"",O40&lt;&gt;""),"Pełny",IF(OR(K40&lt;&gt;"",L40&lt;&gt;""),"Częściowy","Brak bezpośredniego kontaktu"))</x:f>
        <x:v>Brak bezpośredniego kontaktu</x:v>
      </x:c>
      <x:c r="U40" s="62" t="str">
        <x:v>Nowy</x:v>
      </x:c>
      <x:c r="V40" s="62" t="str">
        <x:v>BILLS — hurt@bills.pl</x:v>
      </x:c>
      <x:c r="W40" s="62" t="str">
        <x:v>E-mail handlowy + telefon follow-up w ciągu 48 godzin</x:v>
      </x:c>
      <x:c r="X40" s="81" t="n">
        <x:f>IF(C40&gt;=82,'Model scoringu'!$B$4,IF(C40&gt;=72,'Model scoringu'!$B$5,IF(C40&gt;=58,'Model scoringu'!$B$6,"")))</x:f>
        <x:v>46227</x:v>
      </x:c>
      <x:c r="Y40" s="62" t="str">
        <x:v>Bezpośrednie dopasowanie do ryo/myo, gilz lub nabijarek.</x:v>
      </x:c>
      <x:c r="Z40" s="62" t="str">
        <x:v>https://www.silverado-top.pl</x:v>
      </x:c>
      <x:c r="AA40" s="62" t="str">
        <x:v>Przed kontaktem sprawdzić aktywność strony, dane rejestrowe i aktualną ofertę. | Status źródłowy: Do weryfikacji — źródło katalogowe</x:v>
      </x:c>
      <x:c r="AB40" s="50" t="n">
        <x:v>30</x:v>
      </x:c>
      <x:c r="AC40" s="50" t="n">
        <x:v>15</x:v>
      </x:c>
      <x:c r="AD40" s="50" t="n">
        <x:v>11</x:v>
      </x:c>
      <x:c r="AE40" s="50" t="n">
        <x:v>5</x:v>
      </x:c>
      <x:c r="AF40" s="50" t="n">
        <x:v>10</x:v>
      </x:c>
      <x:c r="AG40" s="50" t="n">
        <x:v>7</x:v>
      </x:c>
      <x:c r="AH40" s="57" t="n">
        <x:v>0</x:v>
      </x:c>
    </x:row>
    <x:row r="41" ht="34" customHeight="1">
      <x:c r="A41" s="87" t="n">
        <x:v>39</x:v>
      </x:c>
      <x:c r="B41" s="88" t="str">
        <x:f>IF(C41&gt;=82,"A"&amp;1&amp;" — kontakt natychmiast",IF(C41&gt;=72,"A"&amp;2&amp;" — kontakt w 7 dni",IF(C41&gt;=58,"B — kampania regionalna",IF(C41&gt;=42,"C — weryfikacja i nurturing","D — niski priorytet/wykluczyć"))))</x:f>
        <x:v>A2 — kontakt w 7 dni</x:v>
      </x:c>
      <x:c r="C41" s="88" t="n">
        <x:f>MAX(0,MIN(100,SUM(AB41:AG41)-AH41))</x:f>
        <x:v>78</x:v>
      </x:c>
      <x:c r="D41" s="62" t="str">
        <x:v>MARWIN POLSKA</x:v>
      </x:c>
      <x:c r="E41" s="62" t="str">
        <x:v>Potencjalny reseller / odbiorca hurtowy</x:v>
      </x:c>
      <x:c r="F41" s="62" t="str">
        <x:v>S1 — RYO/MYO, gilzy i nabijarki</x:v>
      </x:c>
      <x:c r="G41" s="62" t="str">
        <x:v>Hurt B2B regionalny</x:v>
      </x:c>
      <x:c r="H41" s="62" t="str">
        <x:v>Małopolskie</x:v>
      </x:c>
      <x:c r="I41" s="62" t="str">
        <x:v>Kraków</x:v>
      </x:c>
      <x:c r="J41" s="62" t="str">
        <x:v>Średni</x:v>
      </x:c>
      <x:c r="K41" s="62" t="str"/>
      <x:c r="L41" s="62" t="str"/>
      <x:c r="M41" s="62" t="str"/>
      <x:c r="N41" s="62" t="str"/>
      <x:c r="O41" s="62" t="str">
        <x:v>http://www.marwinpolska.pl</x:v>
      </x:c>
      <x:c r="P41" s="62" t="str">
        <x:v>ul. Mistrzejowicka 2, 31-651 Kraków</x:v>
      </x:c>
      <x:c r="Q41" s="62" t="str"/>
      <x:c r="R41" s="62" t="str"/>
      <x:c r="S41" s="62" t="str">
        <x:v>Papierosy | Cygaretki | Bibułki | Filtry | Tytoń premium | Tytoń | Akcesoria</x:v>
      </x:c>
      <x:c r="T41" s="62" t="str">
        <x:f>IF(AND(K41&lt;&gt;"",L41&lt;&gt;"",O41&lt;&gt;""),"Pełny",IF(OR(K41&lt;&gt;"",L41&lt;&gt;""),"Częściowy","Brak bezpośredniego kontaktu"))</x:f>
        <x:v>Brak bezpośredniego kontaktu</x:v>
      </x:c>
      <x:c r="U41" s="62" t="str">
        <x:v>Nowy</x:v>
      </x:c>
      <x:c r="V41" s="62" t="str">
        <x:v>BILLS — hurt@bills.pl</x:v>
      </x:c>
      <x:c r="W41" s="62" t="str">
        <x:v>E-mail handlowy + telefon follow-up w ciągu 48 godzin</x:v>
      </x:c>
      <x:c r="X41" s="81" t="n">
        <x:f>IF(C41&gt;=82,'Model scoringu'!$B$4,IF(C41&gt;=72,'Model scoringu'!$B$5,IF(C41&gt;=58,'Model scoringu'!$B$6,"")))</x:f>
        <x:v>46227</x:v>
      </x:c>
      <x:c r="Y41" s="62" t="str">
        <x:v>Bezpośrednie dopasowanie do ryo/myo, gilz lub nabijarek.</x:v>
      </x:c>
      <x:c r="Z41" s="62" t="str">
        <x:v>http://www.marwinpolska.pl</x:v>
      </x:c>
      <x:c r="AA41" s="62" t="str">
        <x:v>Warto zweryfikować, czy firma nadal prowadzi aktywną sprzedaż hurtową. | Status źródłowy: Do weryfikacji — źródło katalogowe</x:v>
      </x:c>
      <x:c r="AB41" s="50" t="n">
        <x:v>30</x:v>
      </x:c>
      <x:c r="AC41" s="50" t="n">
        <x:v>15</x:v>
      </x:c>
      <x:c r="AD41" s="50" t="n">
        <x:v>11</x:v>
      </x:c>
      <x:c r="AE41" s="50" t="n">
        <x:v>5</x:v>
      </x:c>
      <x:c r="AF41" s="50" t="n">
        <x:v>10</x:v>
      </x:c>
      <x:c r="AG41" s="50" t="n">
        <x:v>7</x:v>
      </x:c>
      <x:c r="AH41" s="57" t="n">
        <x:v>0</x:v>
      </x:c>
    </x:row>
    <x:row r="42" ht="34" customHeight="1">
      <x:c r="A42" s="87" t="n">
        <x:v>40</x:v>
      </x:c>
      <x:c r="B42" s="88" t="str">
        <x:f>IF(C42&gt;=82,"A"&amp;1&amp;" — kontakt natychmiast",IF(C42&gt;=72,"A"&amp;2&amp;" — kontakt w 7 dni",IF(C42&gt;=58,"B — kampania regionalna",IF(C42&gt;=42,"C — weryfikacja i nurturing","D — niski priorytet/wykluczyć"))))</x:f>
        <x:v>A2 — kontakt w 7 dni</x:v>
      </x:c>
      <x:c r="C42" s="88" t="n">
        <x:f>MAX(0,MIN(100,SUM(AB42:AG42)-AH42))</x:f>
        <x:v>77</x:v>
      </x:c>
      <x:c r="D42" s="62" t="str">
        <x:v>ROCH — Hurtownia Papierosów i Kart GSM</x:v>
      </x:c>
      <x:c r="E42" s="62" t="str">
        <x:v>Potencjalny reseller / odbiorca hurtowy</x:v>
      </x:c>
      <x:c r="F42" s="62" t="str">
        <x:v>S2 — Hurtownie tytoniowe/FMCG</x:v>
      </x:c>
      <x:c r="G42" s="62" t="str">
        <x:v>Hurt B2B + detal</x:v>
      </x:c>
      <x:c r="H42" s="62" t="str">
        <x:v>Małopolskie</x:v>
      </x:c>
      <x:c r="I42" s="62" t="str">
        <x:v>Kraków</x:v>
      </x:c>
      <x:c r="J42" s="62" t="str">
        <x:v>Średni</x:v>
      </x:c>
      <x:c r="K42" s="62" t="str"/>
      <x:c r="L42" s="62" t="str">
        <x:v>+48 12 416 39 16</x:v>
      </x:c>
      <x:c r="M42" s="62" t="str"/>
      <x:c r="N42" s="62" t="str"/>
      <x:c r="O42" s="62" t="str">
        <x:v>https://roch.krakow.pl</x:v>
      </x:c>
      <x:c r="P42" s="62" t="str">
        <x:v>Powstańców 62c/1, 31-670 Kraków, Polska</x:v>
      </x:c>
      <x:c r="Q42" s="62" t="str"/>
      <x:c r="R42" s="62" t="str"/>
      <x:c r="S42" s="62" t="str">
        <x:v>Papierosy | Tytoń | Hurt | Sklep Tytoniowy</x:v>
      </x:c>
      <x:c r="T42" s="62" t="str">
        <x:f>IF(AND(K42&lt;&gt;"",L42&lt;&gt;"",O42&lt;&gt;""),"Pełny",IF(OR(K42&lt;&gt;"",L42&lt;&gt;""),"Częściowy","Brak bezpośredniego kontaktu"))</x:f>
        <x:v>Częściowy</x:v>
      </x:c>
      <x:c r="U42" s="62" t="str">
        <x:v>Nowy</x:v>
      </x:c>
      <x:c r="V42" s="62" t="str">
        <x:v>BILLS — hurt@bills.pl</x:v>
      </x:c>
      <x:c r="W42" s="62" t="str">
        <x:v>E-mail handlowy + telefon follow-up w ciągu 48 godzin</x:v>
      </x:c>
      <x:c r="X42" s="81" t="n">
        <x:f>IF(C42&gt;=82,'Model scoringu'!$B$4,IF(C42&gt;=72,'Model scoringu'!$B$5,IF(C42&gt;=58,'Model scoringu'!$B$6,"")))</x:f>
        <x:v>46227</x:v>
      </x:c>
      <x:c r="Y42" s="62" t="str">
        <x:v>Dostęp do sklepów tytoniowych i tradycyjnego handlu.</x:v>
      </x:c>
      <x:c r="Z42" s="62" t="str">
        <x:v>https://roch.krakow.pl</x:v>
      </x:c>
      <x:c r="AA42" s="62" t="str">
        <x:v>Nie potwierdzone | Status źródłowy: Niezweryfikowany</x:v>
      </x:c>
      <x:c r="AB42" s="50" t="n">
        <x:v>22</x:v>
      </x:c>
      <x:c r="AC42" s="50" t="n">
        <x:v>15</x:v>
      </x:c>
      <x:c r="AD42" s="50" t="n">
        <x:v>11</x:v>
      </x:c>
      <x:c r="AE42" s="50" t="n">
        <x:v>9</x:v>
      </x:c>
      <x:c r="AF42" s="50" t="n">
        <x:v>10</x:v>
      </x:c>
      <x:c r="AG42" s="50" t="n">
        <x:v>10</x:v>
      </x:c>
      <x:c r="AH42" s="57" t="n">
        <x:v>0</x:v>
      </x:c>
    </x:row>
    <x:row r="43" ht="34" customHeight="1">
      <x:c r="A43" s="87" t="n">
        <x:v>41</x:v>
      </x:c>
      <x:c r="B43" s="88" t="str">
        <x:f>IF(C43&gt;=82,"A"&amp;1&amp;" — kontakt natychmiast",IF(C43&gt;=72,"A"&amp;2&amp;" — kontakt w 7 dni",IF(C43&gt;=58,"B — kampania regionalna",IF(C43&gt;=42,"C — weryfikacja i nurturing","D — niski priorytet/wykluczyć"))))</x:f>
        <x:v>A2 — kontakt w 7 dni</x:v>
      </x:c>
      <x:c r="C43" s="88" t="n">
        <x:f>MAX(0,MIN(100,SUM(AB43:AG43)-AH43))</x:f>
        <x:v>77</x:v>
      </x:c>
      <x:c r="D43" s="62" t="str">
        <x:v>Lubelskie Zakłady Tytoniowe (LZT)</x:v>
      </x:c>
      <x:c r="E43" s="62" t="str">
        <x:v>Potencjalny reseller / odbiorca hurtowy</x:v>
      </x:c>
      <x:c r="F43" s="62" t="str">
        <x:v>S2 — Hurtownie tytoniowe/FMCG</x:v>
      </x:c>
      <x:c r="G43" s="62" t="str">
        <x:v>Hurt B2B + detal</x:v>
      </x:c>
      <x:c r="H43" s="62" t="str">
        <x:v>Lubelskie</x:v>
      </x:c>
      <x:c r="I43" s="62" t="str">
        <x:v>Lublin</x:v>
      </x:c>
      <x:c r="J43" s="62" t="str">
        <x:v>Średni</x:v>
      </x:c>
      <x:c r="K43" s="62" t="str"/>
      <x:c r="L43" s="62" t="str">
        <x:v>+48 789 477 907</x:v>
      </x:c>
      <x:c r="M43" s="62" t="str"/>
      <x:c r="N43" s="62" t="str"/>
      <x:c r="O43" s="62" t="str">
        <x:v>https://lubelskietytonie.pl</x:v>
      </x:c>
      <x:c r="P43" s="62" t="str">
        <x:v>Mariana Smoluchowskiego 1, 20-469 Lublin, Polska</x:v>
      </x:c>
      <x:c r="Q43" s="62" t="str"/>
      <x:c r="R43" s="62" t="str"/>
      <x:c r="S43" s="62" t="str">
        <x:v>Tytoń | Hurt | Sklep Tytoniowy</x:v>
      </x:c>
      <x:c r="T43" s="62" t="str">
        <x:f>IF(AND(K43&lt;&gt;"",L43&lt;&gt;"",O43&lt;&gt;""),"Pełny",IF(OR(K43&lt;&gt;"",L43&lt;&gt;""),"Częściowy","Brak bezpośredniego kontaktu"))</x:f>
        <x:v>Częściowy</x:v>
      </x:c>
      <x:c r="U43" s="62" t="str">
        <x:v>Nowy</x:v>
      </x:c>
      <x:c r="V43" s="62" t="str">
        <x:v>BILLS — hurt@bills.pl</x:v>
      </x:c>
      <x:c r="W43" s="62" t="str">
        <x:v>E-mail handlowy + telefon follow-up w ciągu 48 godzin</x:v>
      </x:c>
      <x:c r="X43" s="81" t="n">
        <x:f>IF(C43&gt;=82,'Model scoringu'!$B$4,IF(C43&gt;=72,'Model scoringu'!$B$5,IF(C43&gt;=58,'Model scoringu'!$B$6,"")))</x:f>
        <x:v>46227</x:v>
      </x:c>
      <x:c r="Y43" s="62" t="str">
        <x:v>Dostęp do sklepów tytoniowych i tradycyjnego handlu.</x:v>
      </x:c>
      <x:c r="Z43" s="62" t="str">
        <x:v>https://lubelskietytonie.pl</x:v>
      </x:c>
      <x:c r="AA43" s="62" t="str">
        <x:v>Nie potwierdzone | Status źródłowy: Niezweryfikowany</x:v>
      </x:c>
      <x:c r="AB43" s="50" t="n">
        <x:v>22</x:v>
      </x:c>
      <x:c r="AC43" s="50" t="n">
        <x:v>15</x:v>
      </x:c>
      <x:c r="AD43" s="50" t="n">
        <x:v>11</x:v>
      </x:c>
      <x:c r="AE43" s="50" t="n">
        <x:v>9</x:v>
      </x:c>
      <x:c r="AF43" s="50" t="n">
        <x:v>10</x:v>
      </x:c>
      <x:c r="AG43" s="50" t="n">
        <x:v>10</x:v>
      </x:c>
      <x:c r="AH43" s="57" t="n">
        <x:v>0</x:v>
      </x:c>
    </x:row>
    <x:row r="44" ht="34" customHeight="1">
      <x:c r="A44" s="87" t="n">
        <x:v>42</x:v>
      </x:c>
      <x:c r="B44" s="88" t="str">
        <x:f>IF(C44&gt;=82,"A"&amp;1&amp;" — kontakt natychmiast",IF(C44&gt;=72,"A"&amp;2&amp;" — kontakt w 7 dni",IF(C44&gt;=58,"B — kampania regionalna",IF(C44&gt;=42,"C — weryfikacja i nurturing","D — niski priorytet/wykluczyć"))))</x:f>
        <x:v>A2 — kontakt w 7 dni</x:v>
      </x:c>
      <x:c r="C44" s="88" t="n">
        <x:f>MAX(0,MIN(100,SUM(AB44:AG44)-AH44))</x:f>
        <x:v>77</x:v>
      </x:c>
      <x:c r="D44" s="62" t="str">
        <x:v>Carmen Sp. z o.o.</x:v>
      </x:c>
      <x:c r="E44" s="62" t="str">
        <x:v>Potencjalny reseller / odbiorca hurtowy</x:v>
      </x:c>
      <x:c r="F44" s="62" t="str">
        <x:v>S2 — Hurtownie tytoniowe/FMCG</x:v>
      </x:c>
      <x:c r="G44" s="62" t="str">
        <x:v>Hurt B2B + detal</x:v>
      </x:c>
      <x:c r="H44" s="62" t="str">
        <x:v>Śląskie</x:v>
      </x:c>
      <x:c r="I44" s="62" t="str">
        <x:v>Jasienica</x:v>
      </x:c>
      <x:c r="J44" s="62" t="str">
        <x:v>Średni</x:v>
      </x:c>
      <x:c r="K44" s="62" t="str"/>
      <x:c r="L44" s="62" t="str">
        <x:v>+48 33 817 24 00</x:v>
      </x:c>
      <x:c r="M44" s="62" t="str"/>
      <x:c r="N44" s="62" t="str"/>
      <x:c r="O44" s="62" t="str">
        <x:v>https://carmen-jasienica.pl</x:v>
      </x:c>
      <x:c r="P44" s="62" t="str">
        <x:v>Strumieńska 63, 43-385 Jasienica, Polska</x:v>
      </x:c>
      <x:c r="Q44" s="62" t="str"/>
      <x:c r="R44" s="62" t="str"/>
      <x:c r="S44" s="62" t="str">
        <x:v>Papierosy | Tytoń | Hurt | Sklep Tytoniowy</x:v>
      </x:c>
      <x:c r="T44" s="62" t="str">
        <x:f>IF(AND(K44&lt;&gt;"",L44&lt;&gt;"",O44&lt;&gt;""),"Pełny",IF(OR(K44&lt;&gt;"",L44&lt;&gt;""),"Częściowy","Brak bezpośredniego kontaktu"))</x:f>
        <x:v>Częściowy</x:v>
      </x:c>
      <x:c r="U44" s="62" t="str">
        <x:v>Nowy</x:v>
      </x:c>
      <x:c r="V44" s="62" t="str">
        <x:v>BILLS — hurt@bills.pl</x:v>
      </x:c>
      <x:c r="W44" s="62" t="str">
        <x:v>E-mail handlowy + telefon follow-up w ciągu 48 godzin</x:v>
      </x:c>
      <x:c r="X44" s="81" t="n">
        <x:f>IF(C44&gt;=82,'Model scoringu'!$B$4,IF(C44&gt;=72,'Model scoringu'!$B$5,IF(C44&gt;=58,'Model scoringu'!$B$6,"")))</x:f>
        <x:v>46227</x:v>
      </x:c>
      <x:c r="Y44" s="62" t="str">
        <x:v>Dostęp do sklepów tytoniowych i tradycyjnego handlu.</x:v>
      </x:c>
      <x:c r="Z44" s="62" t="str">
        <x:v>https://carmen-jasienica.pl</x:v>
      </x:c>
      <x:c r="AA44" s="62" t="str">
        <x:v>Nie potwierdzone | Status źródłowy: Niezweryfikowany</x:v>
      </x:c>
      <x:c r="AB44" s="50" t="n">
        <x:v>22</x:v>
      </x:c>
      <x:c r="AC44" s="50" t="n">
        <x:v>15</x:v>
      </x:c>
      <x:c r="AD44" s="50" t="n">
        <x:v>11</x:v>
      </x:c>
      <x:c r="AE44" s="50" t="n">
        <x:v>9</x:v>
      </x:c>
      <x:c r="AF44" s="50" t="n">
        <x:v>10</x:v>
      </x:c>
      <x:c r="AG44" s="50" t="n">
        <x:v>10</x:v>
      </x:c>
      <x:c r="AH44" s="57" t="n">
        <x:v>0</x:v>
      </x:c>
    </x:row>
    <x:row r="45" ht="34" customHeight="1">
      <x:c r="A45" s="87" t="n">
        <x:v>43</x:v>
      </x:c>
      <x:c r="B45" s="88" t="str">
        <x:f>IF(C45&gt;=82,"A"&amp;1&amp;" — kontakt natychmiast",IF(C45&gt;=72,"A"&amp;2&amp;" — kontakt w 7 dni",IF(C45&gt;=58,"B — kampania regionalna",IF(C45&gt;=42,"C — weryfikacja i nurturing","D — niski priorytet/wykluczyć"))))</x:f>
        <x:v>A2 — kontakt w 7 dni</x:v>
      </x:c>
      <x:c r="C45" s="88" t="n">
        <x:f>MAX(0,MIN(100,SUM(AB45:AG45)-AH45))</x:f>
        <x:v>75</x:v>
      </x:c>
      <x:c r="D45" s="62" t="str">
        <x:v>Gmochowski Jacek — Hurtownia art. tytoniowych</x:v>
      </x:c>
      <x:c r="E45" s="62" t="str">
        <x:v>Potencjalny reseller / odbiorca hurtowy</x:v>
      </x:c>
      <x:c r="F45" s="62" t="str">
        <x:v>S2 — Hurtownie tytoniowe/FMCG</x:v>
      </x:c>
      <x:c r="G45" s="62" t="str">
        <x:v>Hurt ogólnopolski</x:v>
      </x:c>
      <x:c r="H45" s="62" t="str">
        <x:v>Ogólnopolska</x:v>
      </x:c>
      <x:c r="I45" s="62" t="str">
        <x:v>Wrocław</x:v>
      </x:c>
      <x:c r="J45" s="62" t="str">
        <x:v>Średni</x:v>
      </x:c>
      <x:c r="K45" s="62" t="str"/>
      <x:c r="L45" s="62" t="str"/>
      <x:c r="M45" s="62" t="str"/>
      <x:c r="N45" s="62" t="str"/>
      <x:c r="O45" s="62" t="str">
        <x:v>https://po-godzinach.pl/firmy/...</x:v>
      </x:c>
      <x:c r="P45" s="62" t="str">
        <x:v>Wrocław (Tęczowa 83)</x:v>
      </x:c>
      <x:c r="Q45" s="62" t="str"/>
      <x:c r="R45" s="62" t="str"/>
      <x:c r="S45" s="62" t="str">
        <x:v>Tytoń | Hurt | Sklep Tytoniowy</x:v>
      </x:c>
      <x:c r="T45" s="62" t="str">
        <x:f>IF(AND(K45&lt;&gt;"",L45&lt;&gt;"",O45&lt;&gt;""),"Pełny",IF(OR(K45&lt;&gt;"",L45&lt;&gt;""),"Częściowy","Brak bezpośredniego kontaktu"))</x:f>
        <x:v>Brak bezpośredniego kontaktu</x:v>
      </x:c>
      <x:c r="U45" s="62" t="str">
        <x:v>Nowy</x:v>
      </x:c>
      <x:c r="V45" s="62" t="str">
        <x:v>BILLS — hurt@bills.pl</x:v>
      </x:c>
      <x:c r="W45" s="62" t="str">
        <x:v>E-mail handlowy + telefon follow-up w ciągu 48 godzin</x:v>
      </x:c>
      <x:c r="X45" s="81" t="n">
        <x:f>IF(C45&gt;=82,'Model scoringu'!$B$4,IF(C45&gt;=72,'Model scoringu'!$B$5,IF(C45&gt;=58,'Model scoringu'!$B$6,"")))</x:f>
        <x:v>46227</x:v>
      </x:c>
      <x:c r="Y45" s="62" t="str">
        <x:v>Dostęp do sklepów tytoniowych i tradycyjnego handlu; zasięg ponadregionalny.</x:v>
      </x:c>
      <x:c r="Z45" s="62" t="str">
        <x:v>https://po-godzinach.pl/firmy/...</x:v>
      </x:c>
      <x:c r="AA45" s="62" t="str">
        <x:v>Nie potwierdzone | Status źródłowy: Niezweryfikowany</x:v>
      </x:c>
      <x:c r="AB45" s="50" t="n">
        <x:v>22</x:v>
      </x:c>
      <x:c r="AC45" s="50" t="n">
        <x:v>18</x:v>
      </x:c>
      <x:c r="AD45" s="50" t="n">
        <x:v>15</x:v>
      </x:c>
      <x:c r="AE45" s="50" t="n">
        <x:v>5</x:v>
      </x:c>
      <x:c r="AF45" s="50" t="n">
        <x:v>10</x:v>
      </x:c>
      <x:c r="AG45" s="50" t="n">
        <x:v>10</x:v>
      </x:c>
      <x:c r="AH45" s="57" t="n">
        <x:v>5</x:v>
      </x:c>
    </x:row>
    <x:row r="46" ht="34" customHeight="1">
      <x:c r="A46" s="87" t="n">
        <x:v>44</x:v>
      </x:c>
      <x:c r="B46" s="88" t="str">
        <x:f>IF(C46&gt;=82,"A"&amp;1&amp;" — kontakt natychmiast",IF(C46&gt;=72,"A"&amp;2&amp;" — kontakt w 7 dni",IF(C46&gt;=58,"B — kampania regionalna",IF(C46&gt;=42,"C — weryfikacja i nurturing","D — niski priorytet/wykluczyć"))))</x:f>
        <x:v>A2 — kontakt w 7 dni</x:v>
      </x:c>
      <x:c r="C46" s="88" t="n">
        <x:f>MAX(0,MIN(100,SUM(AB46:AG46)-AH46))</x:f>
        <x:v>75</x:v>
      </x:c>
      <x:c r="D46" s="62" t="str">
        <x:v>Augusto Limaro</x:v>
      </x:c>
      <x:c r="E46" s="62" t="str">
        <x:v>Potencjalny reseller / odbiorca hurtowy</x:v>
      </x:c>
      <x:c r="F46" s="62" t="str">
        <x:v>S2 — Hurtownie tytoniowe/FMCG</x:v>
      </x:c>
      <x:c r="G46" s="62" t="str">
        <x:v>Hurt ogólnopolski</x:v>
      </x:c>
      <x:c r="H46" s="62" t="str">
        <x:v>Ogólnopolska</x:v>
      </x:c>
      <x:c r="I46" s="62" t="str">
        <x:v>Jelenia Góra</x:v>
      </x:c>
      <x:c r="J46" s="62" t="str">
        <x:v>Średni</x:v>
      </x:c>
      <x:c r="K46" s="62" t="str"/>
      <x:c r="L46" s="62" t="str"/>
      <x:c r="M46" s="62" t="str"/>
      <x:c r="N46" s="62" t="str"/>
      <x:c r="O46" s="62" t="str">
        <x:v>https://augustolimaro.pl/o-nas</x:v>
      </x:c>
      <x:c r="P46" s="62" t="str">
        <x:v>Jelenia Góra (serves Zgorzelec, Bolesławiec, Legnica)</x:v>
      </x:c>
      <x:c r="Q46" s="62" t="str"/>
      <x:c r="R46" s="62" t="str"/>
      <x:c r="S46" s="62" t="str">
        <x:v>FMCG | Tytoń | Hurt | Sklep Tytoniowy</x:v>
      </x:c>
      <x:c r="T46" s="62" t="str">
        <x:f>IF(AND(K46&lt;&gt;"",L46&lt;&gt;"",O46&lt;&gt;""),"Pełny",IF(OR(K46&lt;&gt;"",L46&lt;&gt;""),"Częściowy","Brak bezpośredniego kontaktu"))</x:f>
        <x:v>Brak bezpośredniego kontaktu</x:v>
      </x:c>
      <x:c r="U46" s="62" t="str">
        <x:v>Nowy</x:v>
      </x:c>
      <x:c r="V46" s="62" t="str">
        <x:v>BILLS — hurt@bills.pl</x:v>
      </x:c>
      <x:c r="W46" s="62" t="str">
        <x:v>E-mail handlowy + telefon follow-up w ciągu 48 godzin</x:v>
      </x:c>
      <x:c r="X46" s="81" t="n">
        <x:f>IF(C46&gt;=82,'Model scoringu'!$B$4,IF(C46&gt;=72,'Model scoringu'!$B$5,IF(C46&gt;=58,'Model scoringu'!$B$6,"")))</x:f>
        <x:v>46227</x:v>
      </x:c>
      <x:c r="Y46" s="62" t="str">
        <x:v>Dostęp do sklepów tytoniowych i tradycyjnego handlu; zasięg ponadregionalny.</x:v>
      </x:c>
      <x:c r="Z46" s="62" t="str">
        <x:v>https://augustolimaro.pl/o-nas</x:v>
      </x:c>
      <x:c r="AA46" s="62" t="str">
        <x:v>Nie potwierdzone | Status źródłowy: Niezweryfikowany</x:v>
      </x:c>
      <x:c r="AB46" s="50" t="n">
        <x:v>22</x:v>
      </x:c>
      <x:c r="AC46" s="50" t="n">
        <x:v>18</x:v>
      </x:c>
      <x:c r="AD46" s="50" t="n">
        <x:v>15</x:v>
      </x:c>
      <x:c r="AE46" s="50" t="n">
        <x:v>5</x:v>
      </x:c>
      <x:c r="AF46" s="50" t="n">
        <x:v>10</x:v>
      </x:c>
      <x:c r="AG46" s="50" t="n">
        <x:v>10</x:v>
      </x:c>
      <x:c r="AH46" s="57" t="n">
        <x:v>5</x:v>
      </x:c>
    </x:row>
    <x:row r="47" ht="34" customHeight="1">
      <x:c r="A47" s="87" t="n">
        <x:v>45</x:v>
      </x:c>
      <x:c r="B47" s="88" t="str">
        <x:f>IF(C47&gt;=82,"A"&amp;1&amp;" — kontakt natychmiast",IF(C47&gt;=72,"A"&amp;2&amp;" — kontakt w 7 dni",IF(C47&gt;=58,"B — kampania regionalna",IF(C47&gt;=42,"C — weryfikacja i nurturing","D — niski priorytet/wykluczyć"))))</x:f>
        <x:v>A2 — kontakt w 7 dni</x:v>
      </x:c>
      <x:c r="C47" s="88" t="n">
        <x:f>MAX(0,MIN(100,SUM(AB47:AG47)-AH47))</x:f>
        <x:v>75</x:v>
      </x:c>
      <x:c r="D47" s="62" t="str">
        <x:v>MAGNUS</x:v>
      </x:c>
      <x:c r="E47" s="62" t="str">
        <x:v>Partner strategiczny / możliwy konflikt produktowy</x:v>
      </x:c>
      <x:c r="F47" s="62" t="str">
        <x:v>S1 — RYO/MYO, gilzy i nabijarki</x:v>
      </x:c>
      <x:c r="G47" s="62" t="str">
        <x:v>Producent/importer/dystrybutor</x:v>
      </x:c>
      <x:c r="H47" s="62" t="str">
        <x:v>Ogólnopolska</x:v>
      </x:c>
      <x:c r="I47" s="62" t="str"/>
      <x:c r="J47" s="62" t="str">
        <x:v>Duża</x:v>
      </x:c>
      <x:c r="K47" s="62" t="str"/>
      <x:c r="L47" s="62" t="str"/>
      <x:c r="M47" s="62" t="str"/>
      <x:c r="N47" s="62" t="str"/>
      <x:c r="O47" s="62" t="str">
        <x:v>https://magnustobacco.com</x:v>
      </x:c>
      <x:c r="P47" s="62" t="str"/>
      <x:c r="Q47" s="62" t="str"/>
      <x:c r="R47" s="62" t="str"/>
      <x:c r="S47" s="62" t="str">
        <x:v>Akcesoria Tytoniowe | Gilzy &amp; Filtry</x:v>
      </x:c>
      <x:c r="T47" s="62" t="str">
        <x:f>IF(AND(K47&lt;&gt;"",L47&lt;&gt;"",O47&lt;&gt;""),"Pełny",IF(OR(K47&lt;&gt;"",L47&lt;&gt;""),"Częściowy","Brak bezpośredniego kontaktu"))</x:f>
        <x:v>Brak bezpośredniego kontaktu</x:v>
      </x:c>
      <x:c r="U47" s="62" t="str">
        <x:v>Nowy</x:v>
      </x:c>
      <x:c r="V47" s="62" t="str">
        <x:v>BILLS — hurt@bills.pl</x:v>
      </x:c>
      <x:c r="W47" s="62" t="str">
        <x:v>Rozmowa strategiczna z dyrektorem handlowym; bez standardowego cold maila</x:v>
      </x:c>
      <x:c r="X47" s="81" t="n">
        <x:f>IF(C47&gt;=82,'Model scoringu'!$B$4,IF(C47&gt;=72,'Model scoringu'!$B$5,IF(C47&gt;=58,'Model scoringu'!$B$6,"")))</x:f>
        <x:v>46227</x:v>
      </x:c>
      <x:c r="Y47" s="62" t="str">
        <x:v>Bezpośrednie dopasowanie do ryo/myo, gilz lub nabijarek; zasięg ponadregionalny; kompetencje importowo-dystrybucyjne.</x:v>
      </x:c>
      <x:c r="Z47" s="62" t="str">
        <x:v>https://magnustobacco.com</x:v>
      </x:c>
      <x:c r="AA47" s="62" t="str">
        <x:v>Producer of cigarette tubes, including Private Label manufacturing for B2B.</x:v>
      </x:c>
      <x:c r="AB47" s="50" t="n">
        <x:v>30</x:v>
      </x:c>
      <x:c r="AC47" s="50" t="n">
        <x:v>20</x:v>
      </x:c>
      <x:c r="AD47" s="50" t="n">
        <x:v>15</x:v>
      </x:c>
      <x:c r="AE47" s="50" t="n">
        <x:v>3</x:v>
      </x:c>
      <x:c r="AF47" s="50" t="n">
        <x:v>10</x:v>
      </x:c>
      <x:c r="AG47" s="50" t="n">
        <x:v>5</x:v>
      </x:c>
      <x:c r="AH47" s="57" t="n">
        <x:v>8</x:v>
      </x:c>
    </x:row>
    <x:row r="48" ht="34" customHeight="1">
      <x:c r="A48" s="87" t="n">
        <x:v>46</x:v>
      </x:c>
      <x:c r="B48" s="88" t="str">
        <x:f>IF(C48&gt;=82,"A"&amp;1&amp;" — kontakt natychmiast",IF(C48&gt;=72,"A"&amp;2&amp;" — kontakt w 7 dni",IF(C48&gt;=58,"B — kampania regionalna",IF(C48&gt;=42,"C — weryfikacja i nurturing","D — niski priorytet/wykluczyć"))))</x:f>
        <x:v>A2 — kontakt w 7 dni</x:v>
      </x:c>
      <x:c r="C48" s="88" t="n">
        <x:f>MAX(0,MIN(100,SUM(AB48:AG48)-AH48))</x:f>
        <x:v>75</x:v>
      </x:c>
      <x:c r="D48" s="62" t="str">
        <x:v>JOKO Hurtownia M. Cukrowska</x:v>
      </x:c>
      <x:c r="E48" s="62" t="str">
        <x:v>Potencjalny reseller / odbiorca hurtowy</x:v>
      </x:c>
      <x:c r="F48" s="62" t="str">
        <x:v>S1 — RYO/MYO, gilzy i nabijarki</x:v>
      </x:c>
      <x:c r="G48" s="62" t="str">
        <x:v>Hurt B2B regionalny</x:v>
      </x:c>
      <x:c r="H48" s="62" t="str">
        <x:v>Świętokrzyskie</x:v>
      </x:c>
      <x:c r="I48" s="62" t="str">
        <x:v>Końskie</x:v>
      </x:c>
      <x:c r="J48" s="62" t="str">
        <x:v>Średni</x:v>
      </x:c>
      <x:c r="K48" s="62" t="str"/>
      <x:c r="L48" s="62" t="str"/>
      <x:c r="M48" s="62" t="str"/>
      <x:c r="N48" s="62" t="str"/>
      <x:c r="O48" s="62" t="str"/>
      <x:c r="P48" s="62" t="str">
        <x:v>ul. Warszawska 49, 26-200 Końskie</x:v>
      </x:c>
      <x:c r="Q48" s="62" t="str"/>
      <x:c r="R48" s="62" t="str"/>
      <x:c r="S48" s="62" t="str">
        <x:v>Papierosy | Wyroby tytoniowe | Tytoń</x:v>
      </x:c>
      <x:c r="T48" s="62" t="str">
        <x:f>IF(AND(K48&lt;&gt;"",L48&lt;&gt;"",O48&lt;&gt;""),"Pełny",IF(OR(K48&lt;&gt;"",L48&lt;&gt;""),"Częściowy","Brak bezpośredniego kontaktu"))</x:f>
        <x:v>Brak bezpośredniego kontaktu</x:v>
      </x:c>
      <x:c r="U48" s="62" t="str">
        <x:v>Nowy</x:v>
      </x:c>
      <x:c r="V48" s="62" t="str">
        <x:v>BILLS — hurt@bills.pl</x:v>
      </x:c>
      <x:c r="W48" s="62" t="str">
        <x:v>E-mail handlowy + telefon follow-up w ciągu 48 godzin</x:v>
      </x:c>
      <x:c r="X48" s="81" t="n">
        <x:f>IF(C48&gt;=82,'Model scoringu'!$B$4,IF(C48&gt;=72,'Model scoringu'!$B$5,IF(C48&gt;=58,'Model scoringu'!$B$6,"")))</x:f>
        <x:v>46227</x:v>
      </x:c>
      <x:c r="Y48" s="62" t="str">
        <x:v>Bezpośrednie dopasowanie do ryo/myo, gilz lub nabijarek.</x:v>
      </x:c>
      <x:c r="Z48" s="62" t="str"/>
      <x:c r="AA48" s="62" t="str">
        <x:v>Zweryfikować aktywność, NIP i dostępność akcesoriów RYO. | Status źródłowy: Do weryfikacji — katalog</x:v>
      </x:c>
      <x:c r="AB48" s="50" t="n">
        <x:v>30</x:v>
      </x:c>
      <x:c r="AC48" s="50" t="n">
        <x:v>15</x:v>
      </x:c>
      <x:c r="AD48" s="50" t="n">
        <x:v>11</x:v>
      </x:c>
      <x:c r="AE48" s="50" t="n">
        <x:v>2</x:v>
      </x:c>
      <x:c r="AF48" s="50" t="n">
        <x:v>10</x:v>
      </x:c>
      <x:c r="AG48" s="50" t="n">
        <x:v>7</x:v>
      </x:c>
      <x:c r="AH48" s="57" t="n">
        <x:v>0</x:v>
      </x:c>
    </x:row>
    <x:row r="49" ht="34" customHeight="1">
      <x:c r="A49" s="87" t="n">
        <x:v>47</x:v>
      </x:c>
      <x:c r="B49" s="88" t="str">
        <x:f>IF(C49&gt;=82,"A"&amp;1&amp;" — kontakt natychmiast",IF(C49&gt;=72,"A"&amp;2&amp;" — kontakt w 7 dni",IF(C49&gt;=58,"B — kampania regionalna",IF(C49&gt;=42,"C — weryfikacja i nurturing","D — niski priorytet/wykluczyć"))))</x:f>
        <x:v>A2 — kontakt w 7 dni</x:v>
      </x:c>
      <x:c r="C49" s="88" t="n">
        <x:f>MAX(0,MIN(100,SUM(AB49:AG49)-AH49))</x:f>
        <x:v>74</x:v>
      </x:c>
      <x:c r="D49" s="62" t="str">
        <x:v>Trafica-Hurt s.c.</x:v>
      </x:c>
      <x:c r="E49" s="62" t="str">
        <x:v>Potencjalny reseller / odbiorca hurtowy</x:v>
      </x:c>
      <x:c r="F49" s="62" t="str">
        <x:v>S2 — Hurtownie tytoniowe/FMCG</x:v>
      </x:c>
      <x:c r="G49" s="62" t="str">
        <x:v>Hurt B2B regionalny</x:v>
      </x:c>
      <x:c r="H49" s="62" t="str">
        <x:v>Lubelskie</x:v>
      </x:c>
      <x:c r="I49" s="62" t="str">
        <x:v>Lublin</x:v>
      </x:c>
      <x:c r="J49" s="62" t="str">
        <x:v>Nieustalona</x:v>
      </x:c>
      <x:c r="K49" s="62" t="str">
        <x:v>info@trafica-hurt.pl</x:v>
      </x:c>
      <x:c r="L49" s="62" t="str">
        <x:v>793 467 060</x:v>
      </x:c>
      <x:c r="M49" s="62" t="str"/>
      <x:c r="N49" s="62" t="str"/>
      <x:c r="O49" s="62" t="str">
        <x:v>https://trafica-hurt.pl</x:v>
      </x:c>
      <x:c r="P49" s="62" t="str">
        <x:v>ul. Krochmalna 22a, 20-401 Lublin</x:v>
      </x:c>
      <x:c r="Q49" s="62" t="str"/>
      <x:c r="R49" s="62" t="str"/>
      <x:c r="S49" s="62" t="str">
        <x:v>Akcesoria | Tytoń</x:v>
      </x:c>
      <x:c r="T49" s="62" t="str">
        <x:f>IF(AND(K49&lt;&gt;"",L49&lt;&gt;"",O49&lt;&gt;""),"Pełny",IF(OR(K49&lt;&gt;"",L49&lt;&gt;""),"Częściowy","Brak bezpośredniego kontaktu"))</x:f>
        <x:v>Pełny</x:v>
      </x:c>
      <x:c r="U49" s="62" t="str">
        <x:v>Nowy</x:v>
      </x:c>
      <x:c r="V49" s="62" t="str">
        <x:v>BILLS — hurt@bills.pl</x:v>
      </x:c>
      <x:c r="W49" s="62" t="str">
        <x:v>E-mail handlowy + telefon follow-up w ciągu 48 godzin</x:v>
      </x:c>
      <x:c r="X49" s="81" t="n">
        <x:f>IF(C49&gt;=82,'Model scoringu'!$B$4,IF(C49&gt;=72,'Model scoringu'!$B$5,IF(C49&gt;=58,'Model scoringu'!$B$6,"")))</x:f>
        <x:v>46227</x:v>
      </x:c>
      <x:c r="Y49" s="62" t="str">
        <x:v>Dostęp do sklepów tytoniowych i tradycyjnego handlu.</x:v>
      </x:c>
      <x:c r="Z49" s="62" t="str">
        <x:v>https://trafica-hurt.pl</x:v>
      </x:c>
      <x:c r="AA49" s="62" t="str"/>
      <x:c r="AB49" s="50" t="n">
        <x:v>22</x:v>
      </x:c>
      <x:c r="AC49" s="50" t="n">
        <x:v>15</x:v>
      </x:c>
      <x:c r="AD49" s="50" t="n">
        <x:v>7</x:v>
      </x:c>
      <x:c r="AE49" s="50" t="n">
        <x:v>15</x:v>
      </x:c>
      <x:c r="AF49" s="50" t="n">
        <x:v>10</x:v>
      </x:c>
      <x:c r="AG49" s="50" t="n">
        <x:v>5</x:v>
      </x:c>
      <x:c r="AH49" s="57" t="n">
        <x:v>0</x:v>
      </x:c>
    </x:row>
    <x:row r="50" ht="34" customHeight="1">
      <x:c r="A50" s="87" t="n">
        <x:v>48</x:v>
      </x:c>
      <x:c r="B50" s="88" t="str">
        <x:f>IF(C50&gt;=82,"A"&amp;1&amp;" — kontakt natychmiast",IF(C50&gt;=72,"A"&amp;2&amp;" — kontakt w 7 dni",IF(C50&gt;=58,"B — kampania regionalna",IF(C50&gt;=42,"C — weryfikacja i nurturing","D — niski priorytet/wykluczyć"))))</x:f>
        <x:v>A2 — kontakt w 7 dni</x:v>
      </x:c>
      <x:c r="C50" s="88" t="n">
        <x:f>MAX(0,MIN(100,SUM(AB50:AG50)-AH50))</x:f>
        <x:v>74</x:v>
      </x:c>
      <x:c r="D50" s="62" t="str">
        <x:v>Top-Kart</x:v>
      </x:c>
      <x:c r="E50" s="62" t="str">
        <x:v>Potencjalny reseller / odbiorca hurtowy</x:v>
      </x:c>
      <x:c r="F50" s="62" t="str">
        <x:v>S2 — Hurtownie tytoniowe/FMCG</x:v>
      </x:c>
      <x:c r="G50" s="62" t="str">
        <x:v>Hurt B2B regionalny</x:v>
      </x:c>
      <x:c r="H50" s="62" t="str">
        <x:v>Podlaskie</x:v>
      </x:c>
      <x:c r="I50" s="62" t="str">
        <x:v>Białystok</x:v>
      </x:c>
      <x:c r="J50" s="62" t="str">
        <x:v>Nieustalona</x:v>
      </x:c>
      <x:c r="K50" s="62" t="str">
        <x:v>topkart@vp.pl</x:v>
      </x:c>
      <x:c r="L50" s="62" t="str">
        <x:v>501 373 302</x:v>
      </x:c>
      <x:c r="M50" s="62" t="str"/>
      <x:c r="N50" s="62" t="str"/>
      <x:c r="O50" s="62" t="str">
        <x:v>https://topkart.vp.pl</x:v>
      </x:c>
      <x:c r="P50" s="62" t="str">
        <x:v>ul. Mickiewicza 82/1, 15-232 Białystok</x:v>
      </x:c>
      <x:c r="Q50" s="62" t="str"/>
      <x:c r="R50" s="62" t="str"/>
      <x:c r="S50" s="62" t="str">
        <x:v>Akcesoria | Tytoń</x:v>
      </x:c>
      <x:c r="T50" s="62" t="str">
        <x:f>IF(AND(K50&lt;&gt;"",L50&lt;&gt;"",O50&lt;&gt;""),"Pełny",IF(OR(K50&lt;&gt;"",L50&lt;&gt;""),"Częściowy","Brak bezpośredniego kontaktu"))</x:f>
        <x:v>Pełny</x:v>
      </x:c>
      <x:c r="U50" s="62" t="str">
        <x:v>Nowy</x:v>
      </x:c>
      <x:c r="V50" s="62" t="str">
        <x:v>BILLS — hurt@bills.pl</x:v>
      </x:c>
      <x:c r="W50" s="62" t="str">
        <x:v>E-mail handlowy + telefon follow-up w ciągu 48 godzin</x:v>
      </x:c>
      <x:c r="X50" s="81" t="n">
        <x:f>IF(C50&gt;=82,'Model scoringu'!$B$4,IF(C50&gt;=72,'Model scoringu'!$B$5,IF(C50&gt;=58,'Model scoringu'!$B$6,"")))</x:f>
        <x:v>46227</x:v>
      </x:c>
      <x:c r="Y50" s="62" t="str">
        <x:v>Dostęp do sklepów tytoniowych i tradycyjnego handlu.</x:v>
      </x:c>
      <x:c r="Z50" s="62" t="str">
        <x:v>https://topkart.vp.pl</x:v>
      </x:c>
      <x:c r="AA50" s="62" t="str">
        <x:v>Najlepiej udokumentowana hurtownia w woj. podlaskim</x:v>
      </x:c>
      <x:c r="AB50" s="50" t="n">
        <x:v>22</x:v>
      </x:c>
      <x:c r="AC50" s="50" t="n">
        <x:v>15</x:v>
      </x:c>
      <x:c r="AD50" s="50" t="n">
        <x:v>7</x:v>
      </x:c>
      <x:c r="AE50" s="50" t="n">
        <x:v>15</x:v>
      </x:c>
      <x:c r="AF50" s="50" t="n">
        <x:v>10</x:v>
      </x:c>
      <x:c r="AG50" s="50" t="n">
        <x:v>5</x:v>
      </x:c>
      <x:c r="AH50" s="57" t="n">
        <x:v>0</x:v>
      </x:c>
    </x:row>
    <x:row r="51" ht="34" customHeight="1">
      <x:c r="A51" s="87" t="n">
        <x:v>49</x:v>
      </x:c>
      <x:c r="B51" s="88" t="str">
        <x:f>IF(C51&gt;=82,"A"&amp;1&amp;" — kontakt natychmiast",IF(C51&gt;=72,"A"&amp;2&amp;" — kontakt w 7 dni",IF(C51&gt;=58,"B — kampania regionalna",IF(C51&gt;=42,"C — weryfikacja i nurturing","D — niski priorytet/wykluczyć"))))</x:f>
        <x:v>A2 — kontakt w 7 dni</x:v>
      </x:c>
      <x:c r="C51" s="88" t="n">
        <x:f>MAX(0,MIN(100,SUM(AB51:AG51)-AH51))</x:f>
        <x:v>73</x:v>
      </x:c>
      <x:c r="D51" s="62" t="str">
        <x:v>Bista Standard</x:v>
      </x:c>
      <x:c r="E51" s="62" t="str">
        <x:v>Potencjalny reseller / odbiorca hurtowy</x:v>
      </x:c>
      <x:c r="F51" s="62" t="str">
        <x:v>S3 — Akcesoria dla palaczy/headshop</x:v>
      </x:c>
      <x:c r="G51" s="62" t="str">
        <x:v>Hurt B2B + detal</x:v>
      </x:c>
      <x:c r="H51" s="62" t="str">
        <x:v>Nieustalony</x:v>
      </x:c>
      <x:c r="I51" s="62" t="str">
        <x:v>Bydgoszcz</x:v>
      </x:c>
      <x:c r="J51" s="62" t="str">
        <x:v>Nieustalona</x:v>
      </x:c>
      <x:c r="K51" s="62" t="str">
        <x:v>biuro@bista.pl</x:v>
      </x:c>
      <x:c r="L51" s="62" t="str">
        <x:v>+48 52 360 71 15</x:v>
      </x:c>
      <x:c r="M51" s="62" t="str"/>
      <x:c r="N51" s="62" t="str"/>
      <x:c r="O51" s="62" t="str">
        <x:v>https://www.bista.pl</x:v>
      </x:c>
      <x:c r="P51" s="62" t="str"/>
      <x:c r="Q51" s="62" t="str">
        <x:v>5542559901</x:v>
      </x:c>
      <x:c r="R51" s="62" t="str"/>
      <x:c r="S51" s="62" t="str">
        <x:v>Akcesoria Tytoniowe | Tytoń | Hurt | Sklep Tytoniowy</x:v>
      </x:c>
      <x:c r="T51" s="62" t="str">
        <x:f>IF(AND(K51&lt;&gt;"",L51&lt;&gt;"",O51&lt;&gt;""),"Pełny",IF(OR(K51&lt;&gt;"",L51&lt;&gt;""),"Częściowy","Brak bezpośredniego kontaktu"))</x:f>
        <x:v>Pełny</x:v>
      </x:c>
      <x:c r="U51" s="62" t="str">
        <x:v>Nowy</x:v>
      </x:c>
      <x:c r="V51" s="62" t="str">
        <x:v>BILLS — hurt@bills.pl</x:v>
      </x:c>
      <x:c r="W51" s="62" t="str">
        <x:v>E-mail handlowy + telefon follow-up w ciągu 48 godzin</x:v>
      </x:c>
      <x:c r="X51" s="81" t="n">
        <x:f>IF(C51&gt;=82,'Model scoringu'!$B$4,IF(C51&gt;=72,'Model scoringu'!$B$5,IF(C51&gt;=58,'Model scoringu'!$B$6,"")))</x:f>
        <x:v>46227</x:v>
      </x:c>
      <x:c r="Y51" s="62" t="str">
        <x:v>Sprzedaż komplementarnych akcesoriów dla palaczy.</x:v>
      </x:c>
      <x:c r="Z51" s="62" t="str">
        <x:v>https://www.bista.pl</x:v>
      </x:c>
      <x:c r="AA51" s="62" t="str">
        <x:v>Status źródłowy: Niezweryfikowany</x:v>
      </x:c>
      <x:c r="AB51" s="50" t="n">
        <x:v>18</x:v>
      </x:c>
      <x:c r="AC51" s="50" t="n">
        <x:v>15</x:v>
      </x:c>
      <x:c r="AD51" s="50" t="n">
        <x:v>7</x:v>
      </x:c>
      <x:c r="AE51" s="50" t="n">
        <x:v>13</x:v>
      </x:c>
      <x:c r="AF51" s="50" t="n">
        <x:v>10</x:v>
      </x:c>
      <x:c r="AG51" s="50" t="n">
        <x:v>10</x:v>
      </x:c>
      <x:c r="AH51" s="57" t="n">
        <x:v>0</x:v>
      </x:c>
    </x:row>
    <x:row r="52" ht="34" customHeight="1">
      <x:c r="A52" s="87" t="n">
        <x:v>50</x:v>
      </x:c>
      <x:c r="B52" s="88" t="str">
        <x:f>IF(C52&gt;=82,"A"&amp;1&amp;" — kontakt natychmiast",IF(C52&gt;=72,"A"&amp;2&amp;" — kontakt w 7 dni",IF(C52&gt;=58,"B — kampania regionalna",IF(C52&gt;=42,"C — weryfikacja i nurturing","D — niski priorytet/wykluczyć"))))</x:f>
        <x:v>A2 — kontakt w 7 dni</x:v>
      </x:c>
      <x:c r="C52" s="88" t="n">
        <x:f>MAX(0,MIN(100,SUM(AB52:AG52)-AH52))</x:f>
        <x:v>73</x:v>
      </x:c>
      <x:c r="D52" s="62" t="str">
        <x:v>Hurtownia Papierosów Jacek</x:v>
      </x:c>
      <x:c r="E52" s="62" t="str">
        <x:v>Potencjalny reseller / odbiorca hurtowy</x:v>
      </x:c>
      <x:c r="F52" s="62" t="str">
        <x:v>S3 — Akcesoria dla palaczy/headshop</x:v>
      </x:c>
      <x:c r="G52" s="62" t="str">
        <x:v>Hurt B2B + detal</x:v>
      </x:c>
      <x:c r="H52" s="62" t="str">
        <x:v>Pomorskie</x:v>
      </x:c>
      <x:c r="I52" s="62" t="str">
        <x:v>Gdynia</x:v>
      </x:c>
      <x:c r="J52" s="62" t="str">
        <x:v>Średni</x:v>
      </x:c>
      <x:c r="K52" s="62" t="str"/>
      <x:c r="L52" s="62" t="str">
        <x:v>+48 58 620 70 55</x:v>
      </x:c>
      <x:c r="M52" s="62" t="str"/>
      <x:c r="N52" s="62" t="str"/>
      <x:c r="O52" s="62" t="str">
        <x:v>https://hpjacek.pl</x:v>
      </x:c>
      <x:c r="P52" s="62" t="str">
        <x:v>Żwirki i Wigury 8, 81-393 Gdynia, Polska</x:v>
      </x:c>
      <x:c r="Q52" s="62" t="str"/>
      <x:c r="R52" s="62" t="str"/>
      <x:c r="S52" s="62" t="str">
        <x:v>Akcesoria Tytoniowe | FMCG | Papierosy | Tytoń | Hurt | Sklep Tytoniowy</x:v>
      </x:c>
      <x:c r="T52" s="62" t="str">
        <x:f>IF(AND(K52&lt;&gt;"",L52&lt;&gt;"",O52&lt;&gt;""),"Pełny",IF(OR(K52&lt;&gt;"",L52&lt;&gt;""),"Częściowy","Brak bezpośredniego kontaktu"))</x:f>
        <x:v>Częściowy</x:v>
      </x:c>
      <x:c r="U52" s="62" t="str">
        <x:v>Nowy</x:v>
      </x:c>
      <x:c r="V52" s="62" t="str">
        <x:v>BILLS — hurt@bills.pl</x:v>
      </x:c>
      <x:c r="W52" s="62" t="str">
        <x:v>E-mail handlowy + telefon follow-up w ciągu 48 godzin</x:v>
      </x:c>
      <x:c r="X52" s="81" t="n">
        <x:f>IF(C52&gt;=82,'Model scoringu'!$B$4,IF(C52&gt;=72,'Model scoringu'!$B$5,IF(C52&gt;=58,'Model scoringu'!$B$6,"")))</x:f>
        <x:v>46227</x:v>
      </x:c>
      <x:c r="Y52" s="62" t="str">
        <x:v>Sprzedaż komplementarnych akcesoriów dla palaczy.</x:v>
      </x:c>
      <x:c r="Z52" s="62" t="str">
        <x:v>https://hpjacek.pl</x:v>
      </x:c>
      <x:c r="AA52" s="62" t="str">
        <x:v>Nie potwierdzone | Status źródłowy: Niezweryfikowany</x:v>
      </x:c>
      <x:c r="AB52" s="50" t="n">
        <x:v>18</x:v>
      </x:c>
      <x:c r="AC52" s="50" t="n">
        <x:v>15</x:v>
      </x:c>
      <x:c r="AD52" s="50" t="n">
        <x:v>11</x:v>
      </x:c>
      <x:c r="AE52" s="50" t="n">
        <x:v>9</x:v>
      </x:c>
      <x:c r="AF52" s="50" t="n">
        <x:v>10</x:v>
      </x:c>
      <x:c r="AG52" s="50" t="n">
        <x:v>10</x:v>
      </x:c>
      <x:c r="AH52" s="57" t="n">
        <x:v>0</x:v>
      </x:c>
    </x:row>
    <x:row r="53" ht="34" customHeight="1">
      <x:c r="A53" s="87" t="n">
        <x:v>51</x:v>
      </x:c>
      <x:c r="B53" s="88" t="str">
        <x:f>IF(C53&gt;=82,"A"&amp;1&amp;" — kontakt natychmiast",IF(C53&gt;=72,"A"&amp;2&amp;" — kontakt w 7 dni",IF(C53&gt;=58,"B — kampania regionalna",IF(C53&gt;=42,"C — weryfikacja i nurturing","D — niski priorytet/wykluczyć"))))</x:f>
        <x:v>A2 — kontakt w 7 dni</x:v>
      </x:c>
      <x:c r="C53" s="88" t="n">
        <x:f>MAX(0,MIN(100,SUM(AB53:AG53)-AH53))</x:f>
        <x:v>73</x:v>
      </x:c>
      <x:c r="D53" s="62" t="str">
        <x:v>Almark</x:v>
      </x:c>
      <x:c r="E53" s="62" t="str">
        <x:v>Potencjalny reseller / odbiorca hurtowy</x:v>
      </x:c>
      <x:c r="F53" s="62" t="str">
        <x:v>S3 — Akcesoria dla palaczy/headshop</x:v>
      </x:c>
      <x:c r="G53" s="62" t="str">
        <x:v>Hurt B2B + detal</x:v>
      </x:c>
      <x:c r="H53" s="62" t="str">
        <x:v>Opolskie</x:v>
      </x:c>
      <x:c r="I53" s="62" t="str">
        <x:v>Wielkopolskie</x:v>
      </x:c>
      <x:c r="J53" s="62" t="str">
        <x:v>Średni</x:v>
      </x:c>
      <x:c r="K53" s="62" t="str"/>
      <x:c r="L53" s="62" t="str">
        <x:v>+48 724 282 272</x:v>
      </x:c>
      <x:c r="M53" s="62" t="str"/>
      <x:c r="N53" s="62" t="str"/>
      <x:c r="O53" s="62" t="str">
        <x:v>https://almark.pl/index.php/of...</x:v>
      </x:c>
      <x:c r="P53" s="62" t="str">
        <x:v>57-300 Kłodzko, Polska</x:v>
      </x:c>
      <x:c r="Q53" s="62" t="str"/>
      <x:c r="R53" s="62" t="str"/>
      <x:c r="S53" s="62" t="str">
        <x:v>Akcesoria Tytoniowe | Hurt | Sklep Tytoniowy</x:v>
      </x:c>
      <x:c r="T53" s="62" t="str">
        <x:f>IF(AND(K53&lt;&gt;"",L53&lt;&gt;"",O53&lt;&gt;""),"Pełny",IF(OR(K53&lt;&gt;"",L53&lt;&gt;""),"Częściowy","Brak bezpośredniego kontaktu"))</x:f>
        <x:v>Częściowy</x:v>
      </x:c>
      <x:c r="U53" s="62" t="str">
        <x:v>Nowy</x:v>
      </x:c>
      <x:c r="V53" s="62" t="str">
        <x:v>BILLS — hurt@bills.pl</x:v>
      </x:c>
      <x:c r="W53" s="62" t="str">
        <x:v>E-mail handlowy + telefon follow-up w ciągu 48 godzin</x:v>
      </x:c>
      <x:c r="X53" s="81" t="n">
        <x:f>IF(C53&gt;=82,'Model scoringu'!$B$4,IF(C53&gt;=72,'Model scoringu'!$B$5,IF(C53&gt;=58,'Model scoringu'!$B$6,"")))</x:f>
        <x:v>46227</x:v>
      </x:c>
      <x:c r="Y53" s="62" t="str">
        <x:v>Sprzedaż komplementarnych akcesoriów dla palaczy.</x:v>
      </x:c>
      <x:c r="Z53" s="62" t="str">
        <x:v>https://almark.pl/index.php/of...</x:v>
      </x:c>
      <x:c r="AA53" s="62" t="str">
        <x:v>Status źródłowy: Niezweryfikowany</x:v>
      </x:c>
      <x:c r="AB53" s="50" t="n">
        <x:v>18</x:v>
      </x:c>
      <x:c r="AC53" s="50" t="n">
        <x:v>15</x:v>
      </x:c>
      <x:c r="AD53" s="50" t="n">
        <x:v>11</x:v>
      </x:c>
      <x:c r="AE53" s="50" t="n">
        <x:v>9</x:v>
      </x:c>
      <x:c r="AF53" s="50" t="n">
        <x:v>10</x:v>
      </x:c>
      <x:c r="AG53" s="50" t="n">
        <x:v>10</x:v>
      </x:c>
      <x:c r="AH53" s="57" t="n">
        <x:v>0</x:v>
      </x:c>
    </x:row>
    <x:row r="54" ht="34" customHeight="1">
      <x:c r="A54" s="87" t="n">
        <x:v>52</x:v>
      </x:c>
      <x:c r="B54" s="88" t="str">
        <x:f>IF(C54&gt;=82,"A"&amp;1&amp;" — kontakt natychmiast",IF(C54&gt;=72,"A"&amp;2&amp;" — kontakt w 7 dni",IF(C54&gt;=58,"B — kampania regionalna",IF(C54&gt;=42,"C — weryfikacja i nurturing","D — niski priorytet/wykluczyć"))))</x:f>
        <x:v>A2 — kontakt w 7 dni</x:v>
      </x:c>
      <x:c r="C54" s="88" t="n">
        <x:f>MAX(0,MIN(100,SUM(AB54:AG54)-AH54))</x:f>
        <x:v>72</x:v>
      </x:c>
      <x:c r="D54" s="62" t="str">
        <x:v>Vape Arena</x:v>
      </x:c>
      <x:c r="E54" s="62" t="str">
        <x:v>Partner cross-sell / kanał sąsiedni</x:v>
      </x:c>
      <x:c r="F54" s="62" t="str">
        <x:v>S4 — Vape/e-papierosy</x:v>
      </x:c>
      <x:c r="G54" s="62" t="str">
        <x:v>Hurt B2B regionalny</x:v>
      </x:c>
      <x:c r="H54" s="62" t="str">
        <x:v>Mazowieckie</x:v>
      </x:c>
      <x:c r="I54" s="62" t="str">
        <x:v>Warszawa</x:v>
      </x:c>
      <x:c r="J54" s="62" t="str">
        <x:v>Średni</x:v>
      </x:c>
      <x:c r="K54" s="62" t="str">
        <x:v>b2b@vapearena.pl</x:v>
      </x:c>
      <x:c r="L54" s="62" t="str">
        <x:v>+48 722 347 100</x:v>
      </x:c>
      <x:c r="M54" s="62" t="str"/>
      <x:c r="N54" s="62" t="str"/>
      <x:c r="O54" s="62" t="str">
        <x:v>https://www.vapearena.pl</x:v>
      </x:c>
      <x:c r="P54" s="62" t="str">
        <x:v>ul. Janiszowska 9B, 02-264 Warszawa</x:v>
      </x:c>
      <x:c r="Q54" s="62" t="str"/>
      <x:c r="R54" s="62" t="str"/>
      <x:c r="S54" s="62" t="str">
        <x:v>E-papierosy | Liquidy | Pody | Akcesoria vape | Vape | Liquidy | Akcesoria</x:v>
      </x:c>
      <x:c r="T54" s="62" t="str">
        <x:f>IF(AND(K54&lt;&gt;"",L54&lt;&gt;"",O54&lt;&gt;""),"Pełny",IF(OR(K54&lt;&gt;"",L54&lt;&gt;""),"Częściowy","Brak bezpośredniego kontaktu"))</x:f>
        <x:v>Pełny</x:v>
      </x:c>
      <x:c r="U54" s="62" t="str">
        <x:v>Nowy</x:v>
      </x:c>
      <x:c r="V54" s="62" t="str">
        <x:v>BILLS — hurt@bills.pl</x:v>
      </x:c>
      <x:c r="W54" s="62" t="str">
        <x:v>E-mail handlowy + telefon follow-up w ciągu 48 godzin</x:v>
      </x:c>
      <x:c r="X54" s="81" t="n">
        <x:f>IF(C54&gt;=82,'Model scoringu'!$B$4,IF(C54&gt;=72,'Model scoringu'!$B$5,IF(C54&gt;=58,'Model scoringu'!$B$6,"")))</x:f>
        <x:v>46227</x:v>
      </x:c>
      <x:c r="Y54" s="62" t="str">
        <x:v>Kanał sąsiedni z bazą klientów zainteresowanych produktami nikotynowymi.</x:v>
      </x:c>
      <x:c r="Z54" s="62" t="str">
        <x:v>https://www.vapearena.pl/o-nas/ | https://www.vapearena.pl</x:v>
      </x:c>
      <x:c r="AA54" s="62" t="str">
        <x:v>Status źródłowy: Zweryfikowany — aktywna strona/B2B</x:v>
      </x:c>
      <x:c r="AB54" s="50" t="n">
        <x:v>11</x:v>
      </x:c>
      <x:c r="AC54" s="50" t="n">
        <x:v>15</x:v>
      </x:c>
      <x:c r="AD54" s="50" t="n">
        <x:v>11</x:v>
      </x:c>
      <x:c r="AE54" s="50" t="n">
        <x:v>15</x:v>
      </x:c>
      <x:c r="AF54" s="50" t="n">
        <x:v>10</x:v>
      </x:c>
      <x:c r="AG54" s="50" t="n">
        <x:v>10</x:v>
      </x:c>
      <x:c r="AH54" s="57" t="n">
        <x:v>0</x:v>
      </x:c>
    </x:row>
    <x:row r="55" ht="34" customHeight="1">
      <x:c r="A55" s="87" t="n">
        <x:v>53</x:v>
      </x:c>
      <x:c r="B55" s="88" t="str">
        <x:f>IF(C55&gt;=82,"A"&amp;1&amp;" — kontakt natychmiast",IF(C55&gt;=72,"A"&amp;2&amp;" — kontakt w 7 dni",IF(C55&gt;=58,"B — kampania regionalna",IF(C55&gt;=42,"C — weryfikacja i nurturing","D — niski priorytet/wykluczyć"))))</x:f>
        <x:v>A2 — kontakt w 7 dni</x:v>
      </x:c>
      <x:c r="C55" s="88" t="n">
        <x:f>MAX(0,MIN(100,SUM(AB55:AG55)-AH55))</x:f>
        <x:v>72</x:v>
      </x:c>
      <x:c r="D55" s="62" t="str">
        <x:v>CREAMEDIA Dawid Olejniczak / Liquidy.pl</x:v>
      </x:c>
      <x:c r="E55" s="62" t="str">
        <x:v>Partner cross-sell / kanał sąsiedni</x:v>
      </x:c>
      <x:c r="F55" s="62" t="str">
        <x:v>S4 — Vape/e-papierosy</x:v>
      </x:c>
      <x:c r="G55" s="62" t="str">
        <x:v>Hurt B2B + detal</x:v>
      </x:c>
      <x:c r="H55" s="62" t="str">
        <x:v>Kujawsko-pomorskie</x:v>
      </x:c>
      <x:c r="I55" s="62" t="str">
        <x:v>Włocławek</x:v>
      </x:c>
      <x:c r="J55" s="62" t="str">
        <x:v>Średni</x:v>
      </x:c>
      <x:c r="K55" s="62" t="str">
        <x:v>hurt@liquidy.pl</x:v>
      </x:c>
      <x:c r="L55" s="62" t="str">
        <x:v>+48 791 654 545</x:v>
      </x:c>
      <x:c r="M55" s="62" t="str"/>
      <x:c r="N55" s="62" t="str"/>
      <x:c r="O55" s="62" t="str">
        <x:v>https://liquidy.pl/</x:v>
      </x:c>
      <x:c r="P55" s="62" t="str">
        <x:v>ul. Zielna 55, 87-800 Włocławek</x:v>
      </x:c>
      <x:c r="Q55" s="62" t="str">
        <x:v>8882729350</x:v>
      </x:c>
      <x:c r="R55" s="62" t="str"/>
      <x:c r="S55" s="62" t="str">
        <x:v>Vape &amp; E-papierosy | Liquidy | Akcesoria do e-papierosów | Vape | Akcesoria</x:v>
      </x:c>
      <x:c r="T55" s="62" t="str">
        <x:f>IF(AND(K55&lt;&gt;"",L55&lt;&gt;"",O55&lt;&gt;""),"Pełny",IF(OR(K55&lt;&gt;"",L55&lt;&gt;""),"Częściowy","Brak bezpośredniego kontaktu"))</x:f>
        <x:v>Pełny</x:v>
      </x:c>
      <x:c r="U55" s="62" t="str">
        <x:v>Nowy</x:v>
      </x:c>
      <x:c r="V55" s="62" t="str">
        <x:v>BILLS — hurt@bills.pl</x:v>
      </x:c>
      <x:c r="W55" s="62" t="str">
        <x:v>E-mail handlowy + telefon follow-up w ciągu 48 godzin</x:v>
      </x:c>
      <x:c r="X55" s="81" t="n">
        <x:f>IF(C55&gt;=82,'Model scoringu'!$B$4,IF(C55&gt;=72,'Model scoringu'!$B$5,IF(C55&gt;=58,'Model scoringu'!$B$6,"")))</x:f>
        <x:v>46227</x:v>
      </x:c>
      <x:c r="Y55" s="62" t="str">
        <x:v>Kanał sąsiedni z bazą klientów zainteresowanych produktami nikotynowymi.</x:v>
      </x:c>
      <x:c r="Z55" s="62" t="str">
        <x:v>https://liquidy.pl/</x:v>
      </x:c>
      <x:c r="AA55" s="62" t="str">
        <x:v>Potencjalny dystrybutor uzupełniający, zwłaszcza dla sklepów vape i convenience. | Status źródłowy: Zweryfikowany — aktywna strona</x:v>
      </x:c>
      <x:c r="AB55" s="50" t="n">
        <x:v>11</x:v>
      </x:c>
      <x:c r="AC55" s="50" t="n">
        <x:v>15</x:v>
      </x:c>
      <x:c r="AD55" s="50" t="n">
        <x:v>11</x:v>
      </x:c>
      <x:c r="AE55" s="50" t="n">
        <x:v>15</x:v>
      </x:c>
      <x:c r="AF55" s="50" t="n">
        <x:v>10</x:v>
      </x:c>
      <x:c r="AG55" s="50" t="n">
        <x:v>10</x:v>
      </x:c>
      <x:c r="AH55" s="57" t="n">
        <x:v>0</x:v>
      </x:c>
    </x:row>
    <x:row r="56" ht="34" customHeight="1">
      <x:c r="A56" s="87" t="n">
        <x:v>54</x:v>
      </x:c>
      <x:c r="B56" s="88" t="str">
        <x:f>IF(C56&gt;=82,"A"&amp;1&amp;" — kontakt natychmiast",IF(C56&gt;=72,"A"&amp;2&amp;" — kontakt w 7 dni",IF(C56&gt;=58,"B — kampania regionalna",IF(C56&gt;=42,"C — weryfikacja i nurturing","D — niski priorytet/wykluczyć"))))</x:f>
        <x:v>A2 — kontakt w 7 dni</x:v>
      </x:c>
      <x:c r="C56" s="88" t="n">
        <x:f>MAX(0,MIN(100,SUM(AB56:AG56)-AH56))</x:f>
        <x:v>72</x:v>
      </x:c>
      <x:c r="D56" s="62" t="str">
        <x:v>Verk Store</x:v>
      </x:c>
      <x:c r="E56" s="62" t="str">
        <x:v>Potencjalny reseller / odbiorca hurtowy</x:v>
      </x:c>
      <x:c r="F56" s="62" t="str">
        <x:v>S1 — RYO/MYO, gilzy i nabijarki</x:v>
      </x:c>
      <x:c r="G56" s="62" t="str">
        <x:v>Hurt B2B + detal</x:v>
      </x:c>
      <x:c r="H56" s="62" t="str">
        <x:v>Nieustalony</x:v>
      </x:c>
      <x:c r="I56" s="62" t="str"/>
      <x:c r="J56" s="62" t="str">
        <x:v>Nieustalona</x:v>
      </x:c>
      <x:c r="K56" s="62" t="str"/>
      <x:c r="L56" s="62" t="str"/>
      <x:c r="M56" s="62" t="str"/>
      <x:c r="N56" s="62" t="str"/>
      <x:c r="O56" s="62" t="str">
        <x:v>https://verk.store</x:v>
      </x:c>
      <x:c r="P56" s="62" t="str">
        <x:v>Poland</x:v>
      </x:c>
      <x:c r="Q56" s="62" t="str"/>
      <x:c r="R56" s="62" t="str"/>
      <x:c r="S56" s="62" t="str">
        <x:v>Nabijarki &amp; Zwijarki | Verk | Sprzęt i Urządzenia RYO</x:v>
      </x:c>
      <x:c r="T56" s="62" t="str">
        <x:f>IF(AND(K56&lt;&gt;"",L56&lt;&gt;"",O56&lt;&gt;""),"Pełny",IF(OR(K56&lt;&gt;"",L56&lt;&gt;""),"Częściowy","Brak bezpośredniego kontaktu"))</x:f>
        <x:v>Brak bezpośredniego kontaktu</x:v>
      </x:c>
      <x:c r="U56" s="62" t="str">
        <x:v>Nowy</x:v>
      </x:c>
      <x:c r="V56" s="62" t="str">
        <x:v>BILLS — hurt@bills.pl</x:v>
      </x:c>
      <x:c r="W56" s="62" t="str">
        <x:v>E-mail handlowy + telefon follow-up w ciągu 48 godzin</x:v>
      </x:c>
      <x:c r="X56" s="81" t="n">
        <x:f>IF(C56&gt;=82,'Model scoringu'!$B$4,IF(C56&gt;=72,'Model scoringu'!$B$5,IF(C56&gt;=58,'Model scoringu'!$B$6,"")))</x:f>
        <x:v>46227</x:v>
      </x:c>
      <x:c r="Y56" s="62" t="str">
        <x:v>Bezpośrednie dopasowanie do ryo/myo, gilz lub nabijarek.</x:v>
      </x:c>
      <x:c r="Z56" s="62" t="str">
        <x:v>https://verk.store</x:v>
      </x:c>
      <x:c r="AA56" s="62" t="str">
        <x:v>Status źródłowy: Aktywny</x:v>
      </x:c>
      <x:c r="AB56" s="50" t="n">
        <x:v>30</x:v>
      </x:c>
      <x:c r="AC56" s="50" t="n">
        <x:v>15</x:v>
      </x:c>
      <x:c r="AD56" s="50" t="n">
        <x:v>7</x:v>
      </x:c>
      <x:c r="AE56" s="50" t="n">
        <x:v>5</x:v>
      </x:c>
      <x:c r="AF56" s="50" t="n">
        <x:v>8</x:v>
      </x:c>
      <x:c r="AG56" s="50" t="n">
        <x:v>7</x:v>
      </x:c>
      <x:c r="AH56" s="57" t="n">
        <x:v>0</x:v>
      </x:c>
    </x:row>
    <x:row r="57" ht="34" customHeight="1">
      <x:c r="A57" s="87" t="n">
        <x:v>55</x:v>
      </x:c>
      <x:c r="B57" s="88" t="str">
        <x:f>IF(C57&gt;=82,"A"&amp;1&amp;" — kontakt natychmiast",IF(C57&gt;=72,"A"&amp;2&amp;" — kontakt w 7 dni",IF(C57&gt;=58,"B — kampania regionalna",IF(C57&gt;=42,"C — weryfikacja i nurturing","D — niski priorytet/wykluczyć"))))</x:f>
        <x:v>A2 — kontakt w 7 dni</x:v>
      </x:c>
      <x:c r="C57" s="88" t="n">
        <x:f>MAX(0,MIN(100,SUM(AB57:AG57)-AH57))</x:f>
        <x:v>72</x:v>
      </x:c>
      <x:c r="D57" s="62" t="str">
        <x:v>Shisha Sklep</x:v>
      </x:c>
      <x:c r="E57" s="62" t="str">
        <x:v>Potencjalny reseller / odbiorca hurtowy</x:v>
      </x:c>
      <x:c r="F57" s="62" t="str">
        <x:v>S1 — RYO/MYO, gilzy i nabijarki</x:v>
      </x:c>
      <x:c r="G57" s="62" t="str">
        <x:v>Hurt B2B + detal</x:v>
      </x:c>
      <x:c r="H57" s="62" t="str">
        <x:v>Nieustalony</x:v>
      </x:c>
      <x:c r="I57" s="62" t="str">
        <x:v>Warsaw</x:v>
      </x:c>
      <x:c r="J57" s="62" t="str">
        <x:v>Nieustalona</x:v>
      </x:c>
      <x:c r="K57" s="62" t="str"/>
      <x:c r="L57" s="62" t="str"/>
      <x:c r="M57" s="62" t="str"/>
      <x:c r="N57" s="62" t="str"/>
      <x:c r="O57" s="62" t="str">
        <x:v>https://shishasklep.pl</x:v>
      </x:c>
      <x:c r="P57" s="62" t="str">
        <x:v>Warsaw, Poland</x:v>
      </x:c>
      <x:c r="Q57" s="62" t="str"/>
      <x:c r="R57" s="62" t="str"/>
      <x:c r="S57" s="62" t="str">
        <x:v>Akcesoria Tytoniowe | Headshop (Bonga, Shisha) | Nabijarki &amp; Zwijarki | Akcesoria tytoniowe</x:v>
      </x:c>
      <x:c r="T57" s="62" t="str">
        <x:f>IF(AND(K57&lt;&gt;"",L57&lt;&gt;"",O57&lt;&gt;""),"Pełny",IF(OR(K57&lt;&gt;"",L57&lt;&gt;""),"Częściowy","Brak bezpośredniego kontaktu"))</x:f>
        <x:v>Brak bezpośredniego kontaktu</x:v>
      </x:c>
      <x:c r="U57" s="62" t="str">
        <x:v>Nowy</x:v>
      </x:c>
      <x:c r="V57" s="62" t="str">
        <x:v>BILLS — hurt@bills.pl</x:v>
      </x:c>
      <x:c r="W57" s="62" t="str">
        <x:v>E-mail handlowy + telefon follow-up w ciągu 48 godzin</x:v>
      </x:c>
      <x:c r="X57" s="81" t="n">
        <x:f>IF(C57&gt;=82,'Model scoringu'!$B$4,IF(C57&gt;=72,'Model scoringu'!$B$5,IF(C57&gt;=58,'Model scoringu'!$B$6,"")))</x:f>
        <x:v>46227</x:v>
      </x:c>
      <x:c r="Y57" s="62" t="str">
        <x:v>Bezpośrednie dopasowanie do ryo/myo, gilz lub nabijarek.</x:v>
      </x:c>
      <x:c r="Z57" s="62" t="str">
        <x:v>https://shishasklep.pl</x:v>
      </x:c>
      <x:c r="AA57" s="62" t="str">
        <x:v>Status źródłowy: Aktywny</x:v>
      </x:c>
      <x:c r="AB57" s="50" t="n">
        <x:v>30</x:v>
      </x:c>
      <x:c r="AC57" s="50" t="n">
        <x:v>15</x:v>
      </x:c>
      <x:c r="AD57" s="50" t="n">
        <x:v>7</x:v>
      </x:c>
      <x:c r="AE57" s="50" t="n">
        <x:v>5</x:v>
      </x:c>
      <x:c r="AF57" s="50" t="n">
        <x:v>8</x:v>
      </x:c>
      <x:c r="AG57" s="50" t="n">
        <x:v>7</x:v>
      </x:c>
      <x:c r="AH57" s="57" t="n">
        <x:v>0</x:v>
      </x:c>
    </x:row>
    <x:row r="58" ht="34" customHeight="1">
      <x:c r="A58" s="87" t="n">
        <x:v>56</x:v>
      </x:c>
      <x:c r="B58" s="88" t="str">
        <x:f>IF(C58&gt;=82,"A"&amp;1&amp;" — kontakt natychmiast",IF(C58&gt;=72,"A"&amp;2&amp;" — kontakt w 7 dni",IF(C58&gt;=58,"B — kampania regionalna",IF(C58&gt;=42,"C — weryfikacja i nurturing","D — niski priorytet/wykluczyć"))))</x:f>
        <x:v>A2 — kontakt w 7 dni</x:v>
      </x:c>
      <x:c r="C58" s="88" t="n">
        <x:f>MAX(0,MIN(100,SUM(AB58:AG58)-AH58))</x:f>
        <x:v>72</x:v>
      </x:c>
      <x:c r="D58" s="62" t="str">
        <x:v>Alisa.shop</x:v>
      </x:c>
      <x:c r="E58" s="62" t="str">
        <x:v>Potencjalny reseller / odbiorca hurtowy</x:v>
      </x:c>
      <x:c r="F58" s="62" t="str">
        <x:v>S1 — RYO/MYO, gilzy i nabijarki</x:v>
      </x:c>
      <x:c r="G58" s="62" t="str">
        <x:v>Hurt B2B + detal</x:v>
      </x:c>
      <x:c r="H58" s="62" t="str">
        <x:v>Nieustalony</x:v>
      </x:c>
      <x:c r="I58" s="62" t="str"/>
      <x:c r="J58" s="62" t="str">
        <x:v>Nieustalona</x:v>
      </x:c>
      <x:c r="K58" s="62" t="str"/>
      <x:c r="L58" s="62" t="str"/>
      <x:c r="M58" s="62" t="str"/>
      <x:c r="N58" s="62" t="str"/>
      <x:c r="O58" s="62" t="str">
        <x:v>https://alisa.shop</x:v>
      </x:c>
      <x:c r="P58" s="62" t="str">
        <x:v>Poland</x:v>
      </x:c>
      <x:c r="Q58" s="62" t="str"/>
      <x:c r="R58" s="62" t="str"/>
      <x:c r="S58" s="62" t="str">
        <x:v>Tytoń | HK-2 | Sprzęt i Urządzenia RYO</x:v>
      </x:c>
      <x:c r="T58" s="62" t="str">
        <x:f>IF(AND(K58&lt;&gt;"",L58&lt;&gt;"",O58&lt;&gt;""),"Pełny",IF(OR(K58&lt;&gt;"",L58&lt;&gt;""),"Częściowy","Brak bezpośredniego kontaktu"))</x:f>
        <x:v>Brak bezpośredniego kontaktu</x:v>
      </x:c>
      <x:c r="U58" s="62" t="str">
        <x:v>Nowy</x:v>
      </x:c>
      <x:c r="V58" s="62" t="str">
        <x:v>BILLS — hurt@bills.pl</x:v>
      </x:c>
      <x:c r="W58" s="62" t="str">
        <x:v>E-mail handlowy + telefon follow-up w ciągu 48 godzin</x:v>
      </x:c>
      <x:c r="X58" s="81" t="n">
        <x:f>IF(C58&gt;=82,'Model scoringu'!$B$4,IF(C58&gt;=72,'Model scoringu'!$B$5,IF(C58&gt;=58,'Model scoringu'!$B$6,"")))</x:f>
        <x:v>46227</x:v>
      </x:c>
      <x:c r="Y58" s="62" t="str">
        <x:v>Bezpośrednie dopasowanie do ryo/myo, gilz lub nabijarek.</x:v>
      </x:c>
      <x:c r="Z58" s="62" t="str">
        <x:v>https://alisa.shop</x:v>
      </x:c>
      <x:c r="AA58" s="62" t="str">
        <x:v>Status źródłowy: Aktywny</x:v>
      </x:c>
      <x:c r="AB58" s="50" t="n">
        <x:v>30</x:v>
      </x:c>
      <x:c r="AC58" s="50" t="n">
        <x:v>15</x:v>
      </x:c>
      <x:c r="AD58" s="50" t="n">
        <x:v>7</x:v>
      </x:c>
      <x:c r="AE58" s="50" t="n">
        <x:v>5</x:v>
      </x:c>
      <x:c r="AF58" s="50" t="n">
        <x:v>8</x:v>
      </x:c>
      <x:c r="AG58" s="50" t="n">
        <x:v>7</x:v>
      </x:c>
      <x:c r="AH58" s="57" t="n">
        <x:v>0</x:v>
      </x:c>
    </x:row>
    <x:row r="59" ht="34" customHeight="1">
      <x:c r="A59" s="87" t="n">
        <x:v>57</x:v>
      </x:c>
      <x:c r="B59" s="88" t="str">
        <x:f>IF(C59&gt;=82,"A"&amp;1&amp;" — kontakt natychmiast",IF(C59&gt;=72,"A"&amp;2&amp;" — kontakt w 7 dni",IF(C59&gt;=58,"B — kampania regionalna",IF(C59&gt;=42,"C — weryfikacja i nurturing","D — niski priorytet/wykluczyć"))))</x:f>
        <x:v>A2 — kontakt w 7 dni</x:v>
      </x:c>
      <x:c r="C59" s="88" t="n">
        <x:f>MAX(0,MIN(100,SUM(AB59:AG59)-AH59))</x:f>
        <x:v>72</x:v>
      </x:c>
      <x:c r="D59" s="62" t="str">
        <x:v>PHU Andrzej...</x:v>
      </x:c>
      <x:c r="E59" s="62" t="str">
        <x:v>Potencjalny reseller / odbiorca hurtowy</x:v>
      </x:c>
      <x:c r="F59" s="62" t="str">
        <x:v>S2 — Hurtownie tytoniowe/FMCG</x:v>
      </x:c>
      <x:c r="G59" s="62" t="str">
        <x:v>Hurt ogólnopolski</x:v>
      </x:c>
      <x:c r="H59" s="62" t="str">
        <x:v>Ogólnopolska</x:v>
      </x:c>
      <x:c r="I59" s="62" t="str">
        <x:v>Jelenia Góra</x:v>
      </x:c>
      <x:c r="J59" s="62" t="str">
        <x:v>Średni</x:v>
      </x:c>
      <x:c r="K59" s="62" t="str"/>
      <x:c r="L59" s="62" t="str"/>
      <x:c r="M59" s="62" t="str"/>
      <x:c r="N59" s="62" t="str"/>
      <x:c r="O59" s="62" t="str"/>
      <x:c r="P59" s="62" t="str">
        <x:v>Jelenia Góra</x:v>
      </x:c>
      <x:c r="Q59" s="62" t="str"/>
      <x:c r="R59" s="62" t="str"/>
      <x:c r="S59" s="62" t="str">
        <x:v>Tytoń | Hurt | Sklep Tytoniowy</x:v>
      </x:c>
      <x:c r="T59" s="62" t="str">
        <x:f>IF(AND(K59&lt;&gt;"",L59&lt;&gt;"",O59&lt;&gt;""),"Pełny",IF(OR(K59&lt;&gt;"",L59&lt;&gt;""),"Częściowy","Brak bezpośredniego kontaktu"))</x:f>
        <x:v>Brak bezpośredniego kontaktu</x:v>
      </x:c>
      <x:c r="U59" s="62" t="str">
        <x:v>Nowy</x:v>
      </x:c>
      <x:c r="V59" s="62" t="str">
        <x:v>BILLS — hurt@bills.pl</x:v>
      </x:c>
      <x:c r="W59" s="62" t="str">
        <x:v>E-mail handlowy + telefon follow-up w ciągu 48 godzin</x:v>
      </x:c>
      <x:c r="X59" s="81" t="n">
        <x:f>IF(C59&gt;=82,'Model scoringu'!$B$4,IF(C59&gt;=72,'Model scoringu'!$B$5,IF(C59&gt;=58,'Model scoringu'!$B$6,"")))</x:f>
        <x:v>46227</x:v>
      </x:c>
      <x:c r="Y59" s="62" t="str">
        <x:v>Dostęp do sklepów tytoniowych i tradycyjnego handlu; zasięg ponadregionalny.</x:v>
      </x:c>
      <x:c r="Z59" s="62" t="str"/>
      <x:c r="AA59" s="62" t="str">
        <x:v>Nie potwierdzone | Status źródłowy: Niezweryfikowany</x:v>
      </x:c>
      <x:c r="AB59" s="50" t="n">
        <x:v>22</x:v>
      </x:c>
      <x:c r="AC59" s="50" t="n">
        <x:v>18</x:v>
      </x:c>
      <x:c r="AD59" s="50" t="n">
        <x:v>15</x:v>
      </x:c>
      <x:c r="AE59" s="50" t="n">
        <x:v>2</x:v>
      </x:c>
      <x:c r="AF59" s="50" t="n">
        <x:v>10</x:v>
      </x:c>
      <x:c r="AG59" s="50" t="n">
        <x:v>10</x:v>
      </x:c>
      <x:c r="AH59" s="57" t="n">
        <x:v>5</x:v>
      </x:c>
    </x:row>
    <x:row r="60" ht="34" customHeight="1">
      <x:c r="A60" s="87" t="n">
        <x:v>58</x:v>
      </x:c>
      <x:c r="B60" s="88" t="str">
        <x:f>IF(C60&gt;=82,"A"&amp;1&amp;" — kontakt natychmiast",IF(C60&gt;=72,"A"&amp;2&amp;" — kontakt w 7 dni",IF(C60&gt;=58,"B — kampania regionalna",IF(C60&gt;=42,"C — weryfikacja i nurturing","D — niski priorytet/wykluczyć"))))</x:f>
        <x:v>A2 — kontakt w 7 dni</x:v>
      </x:c>
      <x:c r="C60" s="88" t="n">
        <x:f>MAX(0,MIN(100,SUM(AB60:AG60)-AH60))</x:f>
        <x:v>72</x:v>
      </x:c>
      <x:c r="D60" s="62" t="str">
        <x:v>Noban Sp. z o.o.</x:v>
      </x:c>
      <x:c r="E60" s="62" t="str">
        <x:v>Potencjalny reseller / odbiorca hurtowy</x:v>
      </x:c>
      <x:c r="F60" s="62" t="str">
        <x:v>S2 — Hurtownie tytoniowe/FMCG</x:v>
      </x:c>
      <x:c r="G60" s="62" t="str">
        <x:v>Hurt ogólnopolski</x:v>
      </x:c>
      <x:c r="H60" s="62" t="str">
        <x:v>Ogólnopolska</x:v>
      </x:c>
      <x:c r="I60" s="62" t="str">
        <x:v>Wrocław</x:v>
      </x:c>
      <x:c r="J60" s="62" t="str">
        <x:v>Średni</x:v>
      </x:c>
      <x:c r="K60" s="62" t="str"/>
      <x:c r="L60" s="62" t="str"/>
      <x:c r="M60" s="62" t="str"/>
      <x:c r="N60" s="62" t="str"/>
      <x:c r="O60" s="62" t="str"/>
      <x:c r="P60" s="62" t="str">
        <x:v>Wrocław / Dolnośląskie</x:v>
      </x:c>
      <x:c r="Q60" s="62" t="str"/>
      <x:c r="R60" s="62" t="str"/>
      <x:c r="S60" s="62" t="str">
        <x:v>FMCG | Papierosy | Hurt | Sklep Tytoniowy</x:v>
      </x:c>
      <x:c r="T60" s="62" t="str">
        <x:f>IF(AND(K60&lt;&gt;"",L60&lt;&gt;"",O60&lt;&gt;""),"Pełny",IF(OR(K60&lt;&gt;"",L60&lt;&gt;""),"Częściowy","Brak bezpośredniego kontaktu"))</x:f>
        <x:v>Brak bezpośredniego kontaktu</x:v>
      </x:c>
      <x:c r="U60" s="62" t="str">
        <x:v>Nowy</x:v>
      </x:c>
      <x:c r="V60" s="62" t="str">
        <x:v>BILLS — hurt@bills.pl</x:v>
      </x:c>
      <x:c r="W60" s="62" t="str">
        <x:v>E-mail handlowy + telefon follow-up w ciągu 48 godzin</x:v>
      </x:c>
      <x:c r="X60" s="81" t="n">
        <x:f>IF(C60&gt;=82,'Model scoringu'!$B$4,IF(C60&gt;=72,'Model scoringu'!$B$5,IF(C60&gt;=58,'Model scoringu'!$B$6,"")))</x:f>
        <x:v>46227</x:v>
      </x:c>
      <x:c r="Y60" s="62" t="str">
        <x:v>Dostęp do sklepów tytoniowych i tradycyjnego handlu; zasięg ponadregionalny.</x:v>
      </x:c>
      <x:c r="Z60" s="62" t="str"/>
      <x:c r="AA60" s="62" t="str">
        <x:v>Nie potwierdzone | Status źródłowy: Niezweryfikowany</x:v>
      </x:c>
      <x:c r="AB60" s="50" t="n">
        <x:v>22</x:v>
      </x:c>
      <x:c r="AC60" s="50" t="n">
        <x:v>18</x:v>
      </x:c>
      <x:c r="AD60" s="50" t="n">
        <x:v>15</x:v>
      </x:c>
      <x:c r="AE60" s="50" t="n">
        <x:v>2</x:v>
      </x:c>
      <x:c r="AF60" s="50" t="n">
        <x:v>10</x:v>
      </x:c>
      <x:c r="AG60" s="50" t="n">
        <x:v>10</x:v>
      </x:c>
      <x:c r="AH60" s="57" t="n">
        <x:v>5</x:v>
      </x:c>
    </x:row>
    <x:row r="61" ht="34" customHeight="1">
      <x:c r="A61" s="87" t="n">
        <x:v>59</x:v>
      </x:c>
      <x:c r="B61" s="88" t="str">
        <x:f>IF(C61&gt;=82,"A"&amp;1&amp;" — kontakt natychmiast",IF(C61&gt;=72,"A"&amp;2&amp;" — kontakt w 7 dni",IF(C61&gt;=58,"B — kampania regionalna",IF(C61&gt;=42,"C — weryfikacja i nurturing","D — niski priorytet/wykluczyć"))))</x:f>
        <x:v>A2 — kontakt w 7 dni</x:v>
      </x:c>
      <x:c r="C61" s="88" t="n">
        <x:f>MAX(0,MIN(100,SUM(AB61:AG61)-AH61))</x:f>
        <x:v>72</x:v>
      </x:c>
      <x:c r="D61" s="62" t="str">
        <x:v>Fhu Patryk Koksztys</x:v>
      </x:c>
      <x:c r="E61" s="62" t="str">
        <x:v>Potencjalny reseller / odbiorca hurtowy</x:v>
      </x:c>
      <x:c r="F61" s="62" t="str">
        <x:v>S2 — Hurtownie tytoniowe/FMCG</x:v>
      </x:c>
      <x:c r="G61" s="62" t="str">
        <x:v>Hurt ogólnopolski</x:v>
      </x:c>
      <x:c r="H61" s="62" t="str">
        <x:v>Ogólnopolska</x:v>
      </x:c>
      <x:c r="I61" s="62" t="str">
        <x:v>Jelenia Góra</x:v>
      </x:c>
      <x:c r="J61" s="62" t="str">
        <x:v>Średni</x:v>
      </x:c>
      <x:c r="K61" s="62" t="str"/>
      <x:c r="L61" s="62" t="str"/>
      <x:c r="M61" s="62" t="str"/>
      <x:c r="N61" s="62" t="str"/>
      <x:c r="O61" s="62" t="str"/>
      <x:c r="P61" s="62" t="str">
        <x:v>Jelenia Góra</x:v>
      </x:c>
      <x:c r="Q61" s="62" t="str"/>
      <x:c r="R61" s="62" t="str"/>
      <x:c r="S61" s="62" t="str">
        <x:v>Tytoń | Hurt | Sklep Tytoniowy</x:v>
      </x:c>
      <x:c r="T61" s="62" t="str">
        <x:f>IF(AND(K61&lt;&gt;"",L61&lt;&gt;"",O61&lt;&gt;""),"Pełny",IF(OR(K61&lt;&gt;"",L61&lt;&gt;""),"Częściowy","Brak bezpośredniego kontaktu"))</x:f>
        <x:v>Brak bezpośredniego kontaktu</x:v>
      </x:c>
      <x:c r="U61" s="62" t="str">
        <x:v>Nowy</x:v>
      </x:c>
      <x:c r="V61" s="62" t="str">
        <x:v>BILLS — hurt@bills.pl</x:v>
      </x:c>
      <x:c r="W61" s="62" t="str">
        <x:v>E-mail handlowy + telefon follow-up w ciągu 48 godzin</x:v>
      </x:c>
      <x:c r="X61" s="81" t="n">
        <x:f>IF(C61&gt;=82,'Model scoringu'!$B$4,IF(C61&gt;=72,'Model scoringu'!$B$5,IF(C61&gt;=58,'Model scoringu'!$B$6,"")))</x:f>
        <x:v>46227</x:v>
      </x:c>
      <x:c r="Y61" s="62" t="str">
        <x:v>Dostęp do sklepów tytoniowych i tradycyjnego handlu; zasięg ponadregionalny.</x:v>
      </x:c>
      <x:c r="Z61" s="62" t="str"/>
      <x:c r="AA61" s="62" t="str">
        <x:v>Nie potwierdzone | Status źródłowy: Niezweryfikowany</x:v>
      </x:c>
      <x:c r="AB61" s="50" t="n">
        <x:v>22</x:v>
      </x:c>
      <x:c r="AC61" s="50" t="n">
        <x:v>18</x:v>
      </x:c>
      <x:c r="AD61" s="50" t="n">
        <x:v>15</x:v>
      </x:c>
      <x:c r="AE61" s="50" t="n">
        <x:v>2</x:v>
      </x:c>
      <x:c r="AF61" s="50" t="n">
        <x:v>10</x:v>
      </x:c>
      <x:c r="AG61" s="50" t="n">
        <x:v>10</x:v>
      </x:c>
      <x:c r="AH61" s="57" t="n">
        <x:v>5</x:v>
      </x:c>
    </x:row>
    <x:row r="62" ht="34" customHeight="1">
      <x:c r="A62" s="87" t="n">
        <x:v>60</x:v>
      </x:c>
      <x:c r="B62" s="88" t="str">
        <x:f>IF(C62&gt;=82,"A"&amp;1&amp;" — kontakt natychmiast",IF(C62&gt;=72,"A"&amp;2&amp;" — kontakt w 7 dni",IF(C62&gt;=58,"B — kampania regionalna",IF(C62&gt;=42,"C — weryfikacja i nurturing","D — niski priorytet/wykluczyć"))))</x:f>
        <x:v>A2 — kontakt w 7 dni</x:v>
      </x:c>
      <x:c r="C62" s="88" t="n">
        <x:f>MAX(0,MIN(100,SUM(AB62:AG62)-AH62))</x:f>
        <x:v>72</x:v>
      </x:c>
      <x:c r="D62" s="62" t="str">
        <x:v>Beata Hurtownia Papierosów</x:v>
      </x:c>
      <x:c r="E62" s="62" t="str">
        <x:v>Potencjalny reseller / odbiorca hurtowy</x:v>
      </x:c>
      <x:c r="F62" s="62" t="str">
        <x:v>S2 — Hurtownie tytoniowe/FMCG</x:v>
      </x:c>
      <x:c r="G62" s="62" t="str">
        <x:v>Hurt ogólnopolski</x:v>
      </x:c>
      <x:c r="H62" s="62" t="str">
        <x:v>Ogólnopolska</x:v>
      </x:c>
      <x:c r="I62" s="62" t="str">
        <x:v>Katowice</x:v>
      </x:c>
      <x:c r="J62" s="62" t="str">
        <x:v>Średni</x:v>
      </x:c>
      <x:c r="K62" s="62" t="str"/>
      <x:c r="L62" s="62" t="str"/>
      <x:c r="M62" s="62" t="str"/>
      <x:c r="N62" s="62" t="str"/>
      <x:c r="O62" s="62" t="str"/>
      <x:c r="P62" s="62" t="str">
        <x:v>Katowice / Śląskie</x:v>
      </x:c>
      <x:c r="Q62" s="62" t="str"/>
      <x:c r="R62" s="62" t="str"/>
      <x:c r="S62" s="62" t="str">
        <x:v>Papierosy | Tytoń | Hurt | Sklep Tytoniowy</x:v>
      </x:c>
      <x:c r="T62" s="62" t="str">
        <x:f>IF(AND(K62&lt;&gt;"",L62&lt;&gt;"",O62&lt;&gt;""),"Pełny",IF(OR(K62&lt;&gt;"",L62&lt;&gt;""),"Częściowy","Brak bezpośredniego kontaktu"))</x:f>
        <x:v>Brak bezpośredniego kontaktu</x:v>
      </x:c>
      <x:c r="U62" s="62" t="str">
        <x:v>Nowy</x:v>
      </x:c>
      <x:c r="V62" s="62" t="str">
        <x:v>BILLS — hurt@bills.pl</x:v>
      </x:c>
      <x:c r="W62" s="62" t="str">
        <x:v>E-mail handlowy + telefon follow-up w ciągu 48 godzin</x:v>
      </x:c>
      <x:c r="X62" s="81" t="n">
        <x:f>IF(C62&gt;=82,'Model scoringu'!$B$4,IF(C62&gt;=72,'Model scoringu'!$B$5,IF(C62&gt;=58,'Model scoringu'!$B$6,"")))</x:f>
        <x:v>46227</x:v>
      </x:c>
      <x:c r="Y62" s="62" t="str">
        <x:v>Dostęp do sklepów tytoniowych i tradycyjnego handlu; zasięg ponadregionalny.</x:v>
      </x:c>
      <x:c r="Z62" s="62" t="str"/>
      <x:c r="AA62" s="62" t="str">
        <x:v>Nie potwierdzone | Status źródłowy: Niezweryfikowany</x:v>
      </x:c>
      <x:c r="AB62" s="50" t="n">
        <x:v>22</x:v>
      </x:c>
      <x:c r="AC62" s="50" t="n">
        <x:v>18</x:v>
      </x:c>
      <x:c r="AD62" s="50" t="n">
        <x:v>15</x:v>
      </x:c>
      <x:c r="AE62" s="50" t="n">
        <x:v>2</x:v>
      </x:c>
      <x:c r="AF62" s="50" t="n">
        <x:v>10</x:v>
      </x:c>
      <x:c r="AG62" s="50" t="n">
        <x:v>10</x:v>
      </x:c>
      <x:c r="AH62" s="57" t="n">
        <x:v>5</x:v>
      </x:c>
    </x:row>
    <x:row r="63" ht="34" customHeight="1">
      <x:c r="A63" s="87" t="n">
        <x:v>61</x:v>
      </x:c>
      <x:c r="B63" s="88" t="str">
        <x:f>IF(C63&gt;=82,"A"&amp;1&amp;" — kontakt natychmiast",IF(C63&gt;=72,"A"&amp;2&amp;" — kontakt w 7 dni",IF(C63&gt;=58,"B — kampania regionalna",IF(C63&gt;=42,"C — weryfikacja i nurturing","D — niski priorytet/wykluczyć"))))</x:f>
        <x:v>A2 — kontakt w 7 dni</x:v>
      </x:c>
      <x:c r="C63" s="88" t="n">
        <x:f>MAX(0,MIN(100,SUM(AB63:AG63)-AH63))</x:f>
        <x:v>72</x:v>
      </x:c>
      <x:c r="D63" s="62" t="str">
        <x:v>"Maxim" FH Beata Kropielnicka</x:v>
      </x:c>
      <x:c r="E63" s="62" t="str">
        <x:v>Potencjalny reseller / odbiorca hurtowy</x:v>
      </x:c>
      <x:c r="F63" s="62" t="str">
        <x:v>S2 — Hurtownie tytoniowe/FMCG</x:v>
      </x:c>
      <x:c r="G63" s="62" t="str">
        <x:v>Hurt ogólnopolski</x:v>
      </x:c>
      <x:c r="H63" s="62" t="str">
        <x:v>Ogólnopolska</x:v>
      </x:c>
      <x:c r="I63" s="62" t="str">
        <x:v>Jelenia Góra</x:v>
      </x:c>
      <x:c r="J63" s="62" t="str">
        <x:v>Średni</x:v>
      </x:c>
      <x:c r="K63" s="62" t="str"/>
      <x:c r="L63" s="62" t="str"/>
      <x:c r="M63" s="62" t="str"/>
      <x:c r="N63" s="62" t="str"/>
      <x:c r="O63" s="62" t="str"/>
      <x:c r="P63" s="62" t="str">
        <x:v>Jelenia Góra</x:v>
      </x:c>
      <x:c r="Q63" s="62" t="str"/>
      <x:c r="R63" s="62" t="str"/>
      <x:c r="S63" s="62" t="str">
        <x:v>Tytoń | Hurt | Sklep Tytoniowy</x:v>
      </x:c>
      <x:c r="T63" s="62" t="str">
        <x:f>IF(AND(K63&lt;&gt;"",L63&lt;&gt;"",O63&lt;&gt;""),"Pełny",IF(OR(K63&lt;&gt;"",L63&lt;&gt;""),"Częściowy","Brak bezpośredniego kontaktu"))</x:f>
        <x:v>Brak bezpośredniego kontaktu</x:v>
      </x:c>
      <x:c r="U63" s="62" t="str">
        <x:v>Nowy</x:v>
      </x:c>
      <x:c r="V63" s="62" t="str">
        <x:v>BILLS — hurt@bills.pl</x:v>
      </x:c>
      <x:c r="W63" s="62" t="str">
        <x:v>E-mail handlowy + telefon follow-up w ciągu 48 godzin</x:v>
      </x:c>
      <x:c r="X63" s="81" t="n">
        <x:f>IF(C63&gt;=82,'Model scoringu'!$B$4,IF(C63&gt;=72,'Model scoringu'!$B$5,IF(C63&gt;=58,'Model scoringu'!$B$6,"")))</x:f>
        <x:v>46227</x:v>
      </x:c>
      <x:c r="Y63" s="62" t="str">
        <x:v>Dostęp do sklepów tytoniowych i tradycyjnego handlu; zasięg ponadregionalny.</x:v>
      </x:c>
      <x:c r="Z63" s="62" t="str"/>
      <x:c r="AA63" s="62" t="str">
        <x:v>Nie potwierdzone | Status źródłowy: Niezweryfikowany</x:v>
      </x:c>
      <x:c r="AB63" s="50" t="n">
        <x:v>22</x:v>
      </x:c>
      <x:c r="AC63" s="50" t="n">
        <x:v>18</x:v>
      </x:c>
      <x:c r="AD63" s="50" t="n">
        <x:v>15</x:v>
      </x:c>
      <x:c r="AE63" s="50" t="n">
        <x:v>2</x:v>
      </x:c>
      <x:c r="AF63" s="50" t="n">
        <x:v>10</x:v>
      </x:c>
      <x:c r="AG63" s="50" t="n">
        <x:v>10</x:v>
      </x:c>
      <x:c r="AH63" s="57" t="n">
        <x:v>5</x:v>
      </x:c>
    </x:row>
    <x:row r="64" ht="34" customHeight="1">
      <x:c r="A64" s="87" t="n">
        <x:v>62</x:v>
      </x:c>
      <x:c r="B64" s="88" t="str">
        <x:f>IF(C64&gt;=82,"A"&amp;1&amp;" — kontakt natychmiast",IF(C64&gt;=72,"A"&amp;2&amp;" — kontakt w 7 dni",IF(C64&gt;=58,"B — kampania regionalna",IF(C64&gt;=42,"C — weryfikacja i nurturing","D — niski priorytet/wykluczyć"))))</x:f>
        <x:v>A2 — kontakt w 7 dni</x:v>
      </x:c>
      <x:c r="C64" s="88" t="n">
        <x:f>MAX(0,MIN(100,SUM(AB64:AG64)-AH64))</x:f>
        <x:v>72</x:v>
      </x:c>
      <x:c r="D64" s="62" t="str">
        <x:v>"Casiss"</x:v>
      </x:c>
      <x:c r="E64" s="62" t="str">
        <x:v>Potencjalny reseller / odbiorca hurtowy</x:v>
      </x:c>
      <x:c r="F64" s="62" t="str">
        <x:v>S2 — Hurtownie tytoniowe/FMCG</x:v>
      </x:c>
      <x:c r="G64" s="62" t="str">
        <x:v>Hurt ogólnopolski</x:v>
      </x:c>
      <x:c r="H64" s="62" t="str">
        <x:v>Ogólnopolska</x:v>
      </x:c>
      <x:c r="I64" s="62" t="str">
        <x:v>Wrocław</x:v>
      </x:c>
      <x:c r="J64" s="62" t="str">
        <x:v>Średni</x:v>
      </x:c>
      <x:c r="K64" s="62" t="str"/>
      <x:c r="L64" s="62" t="str"/>
      <x:c r="M64" s="62" t="str"/>
      <x:c r="N64" s="62" t="str"/>
      <x:c r="O64" s="62" t="str"/>
      <x:c r="P64" s="62" t="str">
        <x:v>Wrocław / Dolnośląskie</x:v>
      </x:c>
      <x:c r="Q64" s="62" t="str"/>
      <x:c r="R64" s="62" t="str"/>
      <x:c r="S64" s="62" t="str">
        <x:v>Papierosy | Tytoń | Hurt | Sklep Tytoniowy</x:v>
      </x:c>
      <x:c r="T64" s="62" t="str">
        <x:f>IF(AND(K64&lt;&gt;"",L64&lt;&gt;"",O64&lt;&gt;""),"Pełny",IF(OR(K64&lt;&gt;"",L64&lt;&gt;""),"Częściowy","Brak bezpośredniego kontaktu"))</x:f>
        <x:v>Brak bezpośredniego kontaktu</x:v>
      </x:c>
      <x:c r="U64" s="62" t="str">
        <x:v>Nowy</x:v>
      </x:c>
      <x:c r="V64" s="62" t="str">
        <x:v>BILLS — hurt@bills.pl</x:v>
      </x:c>
      <x:c r="W64" s="62" t="str">
        <x:v>E-mail handlowy + telefon follow-up w ciągu 48 godzin</x:v>
      </x:c>
      <x:c r="X64" s="81" t="n">
        <x:f>IF(C64&gt;=82,'Model scoringu'!$B$4,IF(C64&gt;=72,'Model scoringu'!$B$5,IF(C64&gt;=58,'Model scoringu'!$B$6,"")))</x:f>
        <x:v>46227</x:v>
      </x:c>
      <x:c r="Y64" s="62" t="str">
        <x:v>Dostęp do sklepów tytoniowych i tradycyjnego handlu; zasięg ponadregionalny.</x:v>
      </x:c>
      <x:c r="Z64" s="62" t="str"/>
      <x:c r="AA64" s="62" t="str">
        <x:v>Nie potwierdzone | Status źródłowy: Niezweryfikowany</x:v>
      </x:c>
      <x:c r="AB64" s="50" t="n">
        <x:v>22</x:v>
      </x:c>
      <x:c r="AC64" s="50" t="n">
        <x:v>18</x:v>
      </x:c>
      <x:c r="AD64" s="50" t="n">
        <x:v>15</x:v>
      </x:c>
      <x:c r="AE64" s="50" t="n">
        <x:v>2</x:v>
      </x:c>
      <x:c r="AF64" s="50" t="n">
        <x:v>10</x:v>
      </x:c>
      <x:c r="AG64" s="50" t="n">
        <x:v>10</x:v>
      </x:c>
      <x:c r="AH64" s="57" t="n">
        <x:v>5</x:v>
      </x:c>
    </x:row>
    <x:row r="65" ht="34" customHeight="1">
      <x:c r="A65" s="87" t="n">
        <x:v>63</x:v>
      </x:c>
      <x:c r="B65" s="88" t="str">
        <x:f>IF(C65&gt;=82,"A"&amp;1&amp;" — kontakt natychmiast",IF(C65&gt;=72,"A"&amp;2&amp;" — kontakt w 7 dni",IF(C65&gt;=58,"B — kampania regionalna",IF(C65&gt;=42,"C — weryfikacja i nurturing","D — niski priorytet/wykluczyć"))))</x:f>
        <x:v>A2 — kontakt w 7 dni</x:v>
      </x:c>
      <x:c r="C65" s="88" t="n">
        <x:f>MAX(0,MIN(100,SUM(AB65:AG65)-AH65))</x:f>
        <x:v>72</x:v>
      </x:c>
      <x:c r="D65" s="62" t="str">
        <x:v>"Ampex" S.C.</x:v>
      </x:c>
      <x:c r="E65" s="62" t="str">
        <x:v>Potencjalny reseller / odbiorca hurtowy</x:v>
      </x:c>
      <x:c r="F65" s="62" t="str">
        <x:v>S2 — Hurtownie tytoniowe/FMCG</x:v>
      </x:c>
      <x:c r="G65" s="62" t="str">
        <x:v>Hurt ogólnopolski</x:v>
      </x:c>
      <x:c r="H65" s="62" t="str">
        <x:v>Ogólnopolska</x:v>
      </x:c>
      <x:c r="I65" s="62" t="str">
        <x:v>Wrocław</x:v>
      </x:c>
      <x:c r="J65" s="62" t="str">
        <x:v>Średni</x:v>
      </x:c>
      <x:c r="K65" s="62" t="str"/>
      <x:c r="L65" s="62" t="str"/>
      <x:c r="M65" s="62" t="str"/>
      <x:c r="N65" s="62" t="str"/>
      <x:c r="O65" s="62" t="str"/>
      <x:c r="P65" s="62" t="str">
        <x:v>Wrocław / Dolnośląskie</x:v>
      </x:c>
      <x:c r="Q65" s="62" t="str"/>
      <x:c r="R65" s="62" t="str"/>
      <x:c r="S65" s="62" t="str">
        <x:v>Papierosy | Tytoń | Hurt | Sklep Tytoniowy</x:v>
      </x:c>
      <x:c r="T65" s="62" t="str">
        <x:f>IF(AND(K65&lt;&gt;"",L65&lt;&gt;"",O65&lt;&gt;""),"Pełny",IF(OR(K65&lt;&gt;"",L65&lt;&gt;""),"Częściowy","Brak bezpośredniego kontaktu"))</x:f>
        <x:v>Brak bezpośredniego kontaktu</x:v>
      </x:c>
      <x:c r="U65" s="62" t="str">
        <x:v>Nowy</x:v>
      </x:c>
      <x:c r="V65" s="62" t="str">
        <x:v>BILLS — hurt@bills.pl</x:v>
      </x:c>
      <x:c r="W65" s="62" t="str">
        <x:v>E-mail handlowy + telefon follow-up w ciągu 48 godzin</x:v>
      </x:c>
      <x:c r="X65" s="81" t="n">
        <x:f>IF(C65&gt;=82,'Model scoringu'!$B$4,IF(C65&gt;=72,'Model scoringu'!$B$5,IF(C65&gt;=58,'Model scoringu'!$B$6,"")))</x:f>
        <x:v>46227</x:v>
      </x:c>
      <x:c r="Y65" s="62" t="str">
        <x:v>Dostęp do sklepów tytoniowych i tradycyjnego handlu; zasięg ponadregionalny.</x:v>
      </x:c>
      <x:c r="Z65" s="62" t="str"/>
      <x:c r="AA65" s="62" t="str">
        <x:v>Nie potwierdzone | Status źródłowy: Niezweryfikowany</x:v>
      </x:c>
      <x:c r="AB65" s="50" t="n">
        <x:v>22</x:v>
      </x:c>
      <x:c r="AC65" s="50" t="n">
        <x:v>18</x:v>
      </x:c>
      <x:c r="AD65" s="50" t="n">
        <x:v>15</x:v>
      </x:c>
      <x:c r="AE65" s="50" t="n">
        <x:v>2</x:v>
      </x:c>
      <x:c r="AF65" s="50" t="n">
        <x:v>10</x:v>
      </x:c>
      <x:c r="AG65" s="50" t="n">
        <x:v>10</x:v>
      </x:c>
      <x:c r="AH65" s="57" t="n">
        <x:v>5</x:v>
      </x:c>
    </x:row>
    <x:row r="66" ht="34" customHeight="1">
      <x:c r="A66" s="87" t="n">
        <x:v>64</x:v>
      </x:c>
      <x:c r="B66" s="88" t="str">
        <x:f>IF(C66&gt;=82,"A"&amp;1&amp;" — kontakt natychmiast",IF(C66&gt;=72,"A"&amp;2&amp;" — kontakt w 7 dni",IF(C66&gt;=58,"B — kampania regionalna",IF(C66&gt;=42,"C — weryfikacja i nurturing","D — niski priorytet/wykluczyć"))))</x:f>
        <x:v>B — kampania regionalna</x:v>
      </x:c>
      <x:c r="C66" s="88" t="n">
        <x:f>MAX(0,MIN(100,SUM(AB66:AG66)-AH66))</x:f>
        <x:v>71</x:v>
      </x:c>
      <x:c r="D66" s="62" t="str">
        <x:v>Torys — hurtownia papierosów i artykułów chemii gospodarczej</x:v>
      </x:c>
      <x:c r="E66" s="62" t="str">
        <x:v>Potencjalny reseller / odbiorca hurtowy</x:v>
      </x:c>
      <x:c r="F66" s="62" t="str">
        <x:v>S2 — Hurtownie tytoniowe/FMCG</x:v>
      </x:c>
      <x:c r="G66" s="62" t="str">
        <x:v>Hurt B2B regionalny</x:v>
      </x:c>
      <x:c r="H66" s="62" t="str">
        <x:v>Lubelskie</x:v>
      </x:c>
      <x:c r="I66" s="62" t="str">
        <x:v>Chełm</x:v>
      </x:c>
      <x:c r="J66" s="62" t="str">
        <x:v>Średni</x:v>
      </x:c>
      <x:c r="K66" s="62" t="str"/>
      <x:c r="L66" s="62" t="str">
        <x:v>+48 82 565 91 57</x:v>
      </x:c>
      <x:c r="M66" s="62" t="str"/>
      <x:c r="N66" s="62" t="str"/>
      <x:c r="O66" s="62" t="str"/>
      <x:c r="P66" s="62" t="str">
        <x:v>ul. Lwowska 51, Chełm</x:v>
      </x:c>
      <x:c r="Q66" s="62" t="str"/>
      <x:c r="R66" s="62" t="str"/>
      <x:c r="S66" s="62" t="str">
        <x:v>Papierosy | Chemia gospodarcza | Tytoń | Chemia gospodarcza</x:v>
      </x:c>
      <x:c r="T66" s="62" t="str">
        <x:f>IF(AND(K66&lt;&gt;"",L66&lt;&gt;"",O66&lt;&gt;""),"Pełny",IF(OR(K66&lt;&gt;"",L66&lt;&gt;""),"Częściowy","Brak bezpośredniego kontaktu"))</x:f>
        <x:v>Częściowy</x:v>
      </x:c>
      <x:c r="U66" s="62" t="str">
        <x:v>Nowy</x:v>
      </x:c>
      <x:c r="V66" s="62" t="str">
        <x:v>BILLS — hurt@bills.pl</x:v>
      </x:c>
      <x:c r="W66" s="62" t="str">
        <x:v>Dodać do kampanii regionalnej i wykonać follow-up telefoniczny</x:v>
      </x:c>
      <x:c r="X66" s="81" t="n">
        <x:f>IF(C66&gt;=82,'Model scoringu'!$B$4,IF(C66&gt;=72,'Model scoringu'!$B$5,IF(C66&gt;=58,'Model scoringu'!$B$6,"")))</x:f>
        <x:v>46234</x:v>
      </x:c>
      <x:c r="Y66" s="62" t="str">
        <x:v>Dostęp do sklepów tytoniowych i tradycyjnego handlu.</x:v>
      </x:c>
      <x:c r="Z66" s="62" t="str">
        <x:v>https://www.pkt.pl/szukaj/hurtownia-papierosow</x:v>
      </x:c>
      <x:c r="AA66" s="62" t="str">
        <x:v>Status źródłowy: Do weryfikacji — katalog</x:v>
      </x:c>
      <x:c r="AB66" s="50" t="n">
        <x:v>22</x:v>
      </x:c>
      <x:c r="AC66" s="50" t="n">
        <x:v>15</x:v>
      </x:c>
      <x:c r="AD66" s="50" t="n">
        <x:v>11</x:v>
      </x:c>
      <x:c r="AE66" s="50" t="n">
        <x:v>6</x:v>
      </x:c>
      <x:c r="AF66" s="50" t="n">
        <x:v>10</x:v>
      </x:c>
      <x:c r="AG66" s="50" t="n">
        <x:v>7</x:v>
      </x:c>
      <x:c r="AH66" s="57" t="n">
        <x:v>0</x:v>
      </x:c>
    </x:row>
    <x:row r="67" ht="34" customHeight="1">
      <x:c r="A67" s="87" t="n">
        <x:v>65</x:v>
      </x:c>
      <x:c r="B67" s="88" t="str">
        <x:f>IF(C67&gt;=82,"A"&amp;1&amp;" — kontakt natychmiast",IF(C67&gt;=72,"A"&amp;2&amp;" — kontakt w 7 dni",IF(C67&gt;=58,"B — kampania regionalna",IF(C67&gt;=42,"C — weryfikacja i nurturing","D — niski priorytet/wykluczyć"))))</x:f>
        <x:v>B — kampania regionalna</x:v>
      </x:c>
      <x:c r="C67" s="88" t="n">
        <x:f>MAX(0,MIN(100,SUM(AB67:AG67)-AH67))</x:f>
        <x:v>71</x:v>
      </x:c>
      <x:c r="D67" s="62" t="str">
        <x:v>Rela — hurtownia artykułów spożywczych, papierosów i chemii</x:v>
      </x:c>
      <x:c r="E67" s="62" t="str">
        <x:v>Potencjalny reseller / odbiorca hurtowy</x:v>
      </x:c>
      <x:c r="F67" s="62" t="str">
        <x:v>S2 — Hurtownie tytoniowe/FMCG</x:v>
      </x:c>
      <x:c r="G67" s="62" t="str">
        <x:v>Hurt B2B regionalny</x:v>
      </x:c>
      <x:c r="H67" s="62" t="str">
        <x:v>Kujawsko-pomorskie</x:v>
      </x:c>
      <x:c r="I67" s="62" t="str">
        <x:v>Rypin</x:v>
      </x:c>
      <x:c r="J67" s="62" t="str">
        <x:v>Średni</x:v>
      </x:c>
      <x:c r="K67" s="62" t="str"/>
      <x:c r="L67" s="62" t="str">
        <x:v>+48 54 280 22 28</x:v>
      </x:c>
      <x:c r="M67" s="62" t="str"/>
      <x:c r="N67" s="62" t="str"/>
      <x:c r="O67" s="62" t="str"/>
      <x:c r="P67" s="62" t="str">
        <x:v>ul. Lipnowska 21A, Rypin</x:v>
      </x:c>
      <x:c r="Q67" s="62" t="str"/>
      <x:c r="R67" s="62" t="str"/>
      <x:c r="S67" s="62" t="str">
        <x:v>Papierosy | FMCG | Chemia gospodarcza | Tytoń | FMCG | Chemia gospodarcza</x:v>
      </x:c>
      <x:c r="T67" s="62" t="str">
        <x:f>IF(AND(K67&lt;&gt;"",L67&lt;&gt;"",O67&lt;&gt;""),"Pełny",IF(OR(K67&lt;&gt;"",L67&lt;&gt;""),"Częściowy","Brak bezpośredniego kontaktu"))</x:f>
        <x:v>Częściowy</x:v>
      </x:c>
      <x:c r="U67" s="62" t="str">
        <x:v>Nowy</x:v>
      </x:c>
      <x:c r="V67" s="62" t="str">
        <x:v>BILLS — hurt@bills.pl</x:v>
      </x:c>
      <x:c r="W67" s="62" t="str">
        <x:v>Dodać do kampanii regionalnej i wykonać follow-up telefoniczny</x:v>
      </x:c>
      <x:c r="X67" s="81" t="n">
        <x:f>IF(C67&gt;=82,'Model scoringu'!$B$4,IF(C67&gt;=72,'Model scoringu'!$B$5,IF(C67&gt;=58,'Model scoringu'!$B$6,"")))</x:f>
        <x:v>46234</x:v>
      </x:c>
      <x:c r="Y67" s="62" t="str">
        <x:v>Dostęp do sklepów tytoniowych i tradycyjnego handlu.</x:v>
      </x:c>
      <x:c r="Z67" s="62" t="str">
        <x:v>https://www.pkt.pl/szukaj/hurtownia-papierosow</x:v>
      </x:c>
      <x:c r="AA67" s="62" t="str">
        <x:v>Status źródłowy: Do weryfikacji — katalog</x:v>
      </x:c>
      <x:c r="AB67" s="50" t="n">
        <x:v>22</x:v>
      </x:c>
      <x:c r="AC67" s="50" t="n">
        <x:v>15</x:v>
      </x:c>
      <x:c r="AD67" s="50" t="n">
        <x:v>11</x:v>
      </x:c>
      <x:c r="AE67" s="50" t="n">
        <x:v>6</x:v>
      </x:c>
      <x:c r="AF67" s="50" t="n">
        <x:v>10</x:v>
      </x:c>
      <x:c r="AG67" s="50" t="n">
        <x:v>7</x:v>
      </x:c>
      <x:c r="AH67" s="57" t="n">
        <x:v>0</x:v>
      </x:c>
    </x:row>
    <x:row r="68" ht="34" customHeight="1">
      <x:c r="A68" s="87" t="n">
        <x:v>66</x:v>
      </x:c>
      <x:c r="B68" s="88" t="str">
        <x:f>IF(C68&gt;=82,"A"&amp;1&amp;" — kontakt natychmiast",IF(C68&gt;=72,"A"&amp;2&amp;" — kontakt w 7 dni",IF(C68&gt;=58,"B — kampania regionalna",IF(C68&gt;=42,"C — weryfikacja i nurturing","D — niski priorytet/wykluczyć"))))</x:f>
        <x:v>B — kampania regionalna</x:v>
      </x:c>
      <x:c r="C68" s="88" t="n">
        <x:f>MAX(0,MIN(100,SUM(AB68:AG68)-AH68))</x:f>
        <x:v>71</x:v>
      </x:c>
      <x:c r="D68" s="62" t="str">
        <x:v>Moto-Mix Hurtownia Papierosów</x:v>
      </x:c>
      <x:c r="E68" s="62" t="str">
        <x:v>Potencjalny reseller / odbiorca hurtowy</x:v>
      </x:c>
      <x:c r="F68" s="62" t="str">
        <x:v>S2 — Hurtownie tytoniowe/FMCG</x:v>
      </x:c>
      <x:c r="G68" s="62" t="str">
        <x:v>Hurt B2B regionalny</x:v>
      </x:c>
      <x:c r="H68" s="62" t="str">
        <x:v>Łódzkie</x:v>
      </x:c>
      <x:c r="I68" s="62" t="str">
        <x:v>Pabianice</x:v>
      </x:c>
      <x:c r="J68" s="62" t="str">
        <x:v>Średni</x:v>
      </x:c>
      <x:c r="K68" s="62" t="str"/>
      <x:c r="L68" s="62" t="str">
        <x:v>+48 42 214 81 70</x:v>
      </x:c>
      <x:c r="M68" s="62" t="str"/>
      <x:c r="N68" s="62" t="str"/>
      <x:c r="O68" s="62" t="str"/>
      <x:c r="P68" s="62" t="str">
        <x:v>ul. Moniuszki 46A, 95-200 Pabianice</x:v>
      </x:c>
      <x:c r="Q68" s="62" t="str"/>
      <x:c r="R68" s="62" t="str"/>
      <x:c r="S68" s="62" t="str">
        <x:v>Papierosy | Wyroby tytoniowe | Tytoń</x:v>
      </x:c>
      <x:c r="T68" s="62" t="str">
        <x:f>IF(AND(K68&lt;&gt;"",L68&lt;&gt;"",O68&lt;&gt;""),"Pełny",IF(OR(K68&lt;&gt;"",L68&lt;&gt;""),"Częściowy","Brak bezpośredniego kontaktu"))</x:f>
        <x:v>Częściowy</x:v>
      </x:c>
      <x:c r="U68" s="62" t="str">
        <x:v>Nowy</x:v>
      </x:c>
      <x:c r="V68" s="62" t="str">
        <x:v>BILLS — hurt@bills.pl</x:v>
      </x:c>
      <x:c r="W68" s="62" t="str">
        <x:v>Dodać do kampanii regionalnej i wykonać follow-up telefoniczny</x:v>
      </x:c>
      <x:c r="X68" s="81" t="n">
        <x:f>IF(C68&gt;=82,'Model scoringu'!$B$4,IF(C68&gt;=72,'Model scoringu'!$B$5,IF(C68&gt;=58,'Model scoringu'!$B$6,"")))</x:f>
        <x:v>46234</x:v>
      </x:c>
      <x:c r="Y68" s="62" t="str">
        <x:v>Dostęp do sklepów tytoniowych i tradycyjnego handlu.</x:v>
      </x:c>
      <x:c r="Z68" s="62" t="str"/>
      <x:c r="AA68" s="62" t="str">
        <x:v>Sprawdzić, czy podmiot nadal działa pod tą nazwą i czy prowadzi sprzedaż B2B. | Status źródłowy: Do weryfikacji — katalog</x:v>
      </x:c>
      <x:c r="AB68" s="50" t="n">
        <x:v>22</x:v>
      </x:c>
      <x:c r="AC68" s="50" t="n">
        <x:v>15</x:v>
      </x:c>
      <x:c r="AD68" s="50" t="n">
        <x:v>11</x:v>
      </x:c>
      <x:c r="AE68" s="50" t="n">
        <x:v>6</x:v>
      </x:c>
      <x:c r="AF68" s="50" t="n">
        <x:v>10</x:v>
      </x:c>
      <x:c r="AG68" s="50" t="n">
        <x:v>7</x:v>
      </x:c>
      <x:c r="AH68" s="57" t="n">
        <x:v>0</x:v>
      </x:c>
    </x:row>
    <x:row r="69" ht="34" customHeight="1">
      <x:c r="A69" s="87" t="n">
        <x:v>67</x:v>
      </x:c>
      <x:c r="B69" s="88" t="str">
        <x:f>IF(C69&gt;=82,"A"&amp;1&amp;" — kontakt natychmiast",IF(C69&gt;=72,"A"&amp;2&amp;" — kontakt w 7 dni",IF(C69&gt;=58,"B — kampania regionalna",IF(C69&gt;=42,"C — weryfikacja i nurturing","D — niski priorytet/wykluczyć"))))</x:f>
        <x:v>B — kampania regionalna</x:v>
      </x:c>
      <x:c r="C69" s="88" t="n">
        <x:f>MAX(0,MIN(100,SUM(AB69:AG69)-AH69))</x:f>
        <x:v>71</x:v>
      </x:c>
      <x:c r="D69" s="62" t="str">
        <x:v>Gama — Hurtownia papierosów</x:v>
      </x:c>
      <x:c r="E69" s="62" t="str">
        <x:v>Potencjalny reseller / odbiorca hurtowy</x:v>
      </x:c>
      <x:c r="F69" s="62" t="str">
        <x:v>S2 — Hurtownie tytoniowe/FMCG</x:v>
      </x:c>
      <x:c r="G69" s="62" t="str">
        <x:v>Hurt B2B regionalny</x:v>
      </x:c>
      <x:c r="H69" s="62" t="str">
        <x:v>Łódzkie</x:v>
      </x:c>
      <x:c r="I69" s="62" t="str">
        <x:v>Sieradz</x:v>
      </x:c>
      <x:c r="J69" s="62" t="str">
        <x:v>Średni</x:v>
      </x:c>
      <x:c r="K69" s="62" t="str"/>
      <x:c r="L69" s="62" t="str">
        <x:v>+48 43 827 40 00</x:v>
      </x:c>
      <x:c r="M69" s="62" t="str"/>
      <x:c r="N69" s="62" t="str"/>
      <x:c r="O69" s="62" t="str"/>
      <x:c r="P69" s="62" t="str">
        <x:v>ul. POW 46/48, Sieradz</x:v>
      </x:c>
      <x:c r="Q69" s="62" t="str"/>
      <x:c r="R69" s="62" t="str"/>
      <x:c r="S69" s="62" t="str">
        <x:v>Papierosy | Wyroby tytoniowe | Tytoń</x:v>
      </x:c>
      <x:c r="T69" s="62" t="str">
        <x:f>IF(AND(K69&lt;&gt;"",L69&lt;&gt;"",O69&lt;&gt;""),"Pełny",IF(OR(K69&lt;&gt;"",L69&lt;&gt;""),"Częściowy","Brak bezpośredniego kontaktu"))</x:f>
        <x:v>Częściowy</x:v>
      </x:c>
      <x:c r="U69" s="62" t="str">
        <x:v>Nowy</x:v>
      </x:c>
      <x:c r="V69" s="62" t="str">
        <x:v>BILLS — hurt@bills.pl</x:v>
      </x:c>
      <x:c r="W69" s="62" t="str">
        <x:v>Dodać do kampanii regionalnej i wykonać follow-up telefoniczny</x:v>
      </x:c>
      <x:c r="X69" s="81" t="n">
        <x:f>IF(C69&gt;=82,'Model scoringu'!$B$4,IF(C69&gt;=72,'Model scoringu'!$B$5,IF(C69&gt;=58,'Model scoringu'!$B$6,"")))</x:f>
        <x:v>46234</x:v>
      </x:c>
      <x:c r="Y69" s="62" t="str">
        <x:v>Dostęp do sklepów tytoniowych i tradycyjnego handlu.</x:v>
      </x:c>
      <x:c r="Z69" s="62" t="str">
        <x:v>https://www.pkt.pl/szukaj/hurtownia-papierosow</x:v>
      </x:c>
      <x:c r="AA69" s="62" t="str">
        <x:v>Status źródłowy: Do weryfikacji — katalog</x:v>
      </x:c>
      <x:c r="AB69" s="50" t="n">
        <x:v>22</x:v>
      </x:c>
      <x:c r="AC69" s="50" t="n">
        <x:v>15</x:v>
      </x:c>
      <x:c r="AD69" s="50" t="n">
        <x:v>11</x:v>
      </x:c>
      <x:c r="AE69" s="50" t="n">
        <x:v>6</x:v>
      </x:c>
      <x:c r="AF69" s="50" t="n">
        <x:v>10</x:v>
      </x:c>
      <x:c r="AG69" s="50" t="n">
        <x:v>7</x:v>
      </x:c>
      <x:c r="AH69" s="57" t="n">
        <x:v>0</x:v>
      </x:c>
    </x:row>
    <x:row r="70" ht="34" customHeight="1">
      <x:c r="A70" s="87" t="n">
        <x:v>68</x:v>
      </x:c>
      <x:c r="B70" s="88" t="str">
        <x:f>IF(C70&gt;=82,"A"&amp;1&amp;" — kontakt natychmiast",IF(C70&gt;=72,"A"&amp;2&amp;" — kontakt w 7 dni",IF(C70&gt;=58,"B — kampania regionalna",IF(C70&gt;=42,"C — weryfikacja i nurturing","D — niski priorytet/wykluczyć"))))</x:f>
        <x:v>B — kampania regionalna</x:v>
      </x:c>
      <x:c r="C70" s="88" t="n">
        <x:f>MAX(0,MIN(100,SUM(AB70:AG70)-AH70))</x:f>
        <x:v>71</x:v>
      </x:c>
      <x:c r="D70" s="62" t="str">
        <x:v>Alfa s.c. — hurtownia artykułów biurowych, papierniczych i papierosów</x:v>
      </x:c>
      <x:c r="E70" s="62" t="str">
        <x:v>Potencjalny reseller / odbiorca hurtowy</x:v>
      </x:c>
      <x:c r="F70" s="62" t="str">
        <x:v>S2 — Hurtownie tytoniowe/FMCG</x:v>
      </x:c>
      <x:c r="G70" s="62" t="str">
        <x:v>Hurt B2B regionalny</x:v>
      </x:c>
      <x:c r="H70" s="62" t="str">
        <x:v>Lubuskie</x:v>
      </x:c>
      <x:c r="I70" s="62" t="str">
        <x:v>Drezdenko</x:v>
      </x:c>
      <x:c r="J70" s="62" t="str">
        <x:v>Średni</x:v>
      </x:c>
      <x:c r="K70" s="62" t="str"/>
      <x:c r="L70" s="62" t="str">
        <x:v>+48 95 762 16 72</x:v>
      </x:c>
      <x:c r="M70" s="62" t="str"/>
      <x:c r="N70" s="62" t="str"/>
      <x:c r="O70" s="62" t="str"/>
      <x:c r="P70" s="62" t="str">
        <x:v>ul. Piłsudskiego 2, Drezdenko</x:v>
      </x:c>
      <x:c r="Q70" s="62" t="str"/>
      <x:c r="R70" s="62" t="str"/>
      <x:c r="S70" s="62" t="str">
        <x:v>Papierosy | Artykuły przykasowe | Papiernicze | Tytoń | Artykuły papiernicze | FMCG</x:v>
      </x:c>
      <x:c r="T70" s="62" t="str">
        <x:f>IF(AND(K70&lt;&gt;"",L70&lt;&gt;"",O70&lt;&gt;""),"Pełny",IF(OR(K70&lt;&gt;"",L70&lt;&gt;""),"Częściowy","Brak bezpośredniego kontaktu"))</x:f>
        <x:v>Częściowy</x:v>
      </x:c>
      <x:c r="U70" s="62" t="str">
        <x:v>Nowy</x:v>
      </x:c>
      <x:c r="V70" s="62" t="str">
        <x:v>BILLS — hurt@bills.pl</x:v>
      </x:c>
      <x:c r="W70" s="62" t="str">
        <x:v>Dodać do kampanii regionalnej i wykonać follow-up telefoniczny</x:v>
      </x:c>
      <x:c r="X70" s="81" t="n">
        <x:f>IF(C70&gt;=82,'Model scoringu'!$B$4,IF(C70&gt;=72,'Model scoringu'!$B$5,IF(C70&gt;=58,'Model scoringu'!$B$6,"")))</x:f>
        <x:v>46234</x:v>
      </x:c>
      <x:c r="Y70" s="62" t="str">
        <x:v>Dostęp do sklepów tytoniowych i tradycyjnego handlu.</x:v>
      </x:c>
      <x:c r="Z70" s="62" t="str">
        <x:v>https://www.pkt.pl/szukaj/hurtownia-papierosow</x:v>
      </x:c>
      <x:c r="AA70" s="62" t="str">
        <x:v>Status źródłowy: Do weryfikacji — katalog</x:v>
      </x:c>
      <x:c r="AB70" s="50" t="n">
        <x:v>22</x:v>
      </x:c>
      <x:c r="AC70" s="50" t="n">
        <x:v>15</x:v>
      </x:c>
      <x:c r="AD70" s="50" t="n">
        <x:v>11</x:v>
      </x:c>
      <x:c r="AE70" s="50" t="n">
        <x:v>6</x:v>
      </x:c>
      <x:c r="AF70" s="50" t="n">
        <x:v>10</x:v>
      </x:c>
      <x:c r="AG70" s="50" t="n">
        <x:v>7</x:v>
      </x:c>
      <x:c r="AH70" s="57" t="n">
        <x:v>0</x:v>
      </x:c>
    </x:row>
    <x:row r="71" ht="34" customHeight="1">
      <x:c r="A71" s="87" t="n">
        <x:v>69</x:v>
      </x:c>
      <x:c r="B71" s="88" t="str">
        <x:f>IF(C71&gt;=82,"A"&amp;1&amp;" — kontakt natychmiast",IF(C71&gt;=72,"A"&amp;2&amp;" — kontakt w 7 dni",IF(C71&gt;=58,"B — kampania regionalna",IF(C71&gt;=42,"C — weryfikacja i nurturing","D — niski priorytet/wykluczyć"))))</x:f>
        <x:v>B — kampania regionalna</x:v>
      </x:c>
      <x:c r="C71" s="88" t="n">
        <x:f>MAX(0,MIN(100,SUM(AB71:AG71)-AH71))</x:f>
        <x:v>71</x:v>
      </x:c>
      <x:c r="D71" s="62" t="str">
        <x:v>Aksel FHU — hurtownia papierosów i artykułów chemicznych</x:v>
      </x:c>
      <x:c r="E71" s="62" t="str">
        <x:v>Potencjalny reseller / odbiorca hurtowy</x:v>
      </x:c>
      <x:c r="F71" s="62" t="str">
        <x:v>S2 — Hurtownie tytoniowe/FMCG</x:v>
      </x:c>
      <x:c r="G71" s="62" t="str">
        <x:v>Hurt B2B regionalny</x:v>
      </x:c>
      <x:c r="H71" s="62" t="str">
        <x:v>Mazowieckie</x:v>
      </x:c>
      <x:c r="I71" s="62" t="str">
        <x:v>Ciechanów</x:v>
      </x:c>
      <x:c r="J71" s="62" t="str">
        <x:v>Średni</x:v>
      </x:c>
      <x:c r="K71" s="62" t="str"/>
      <x:c r="L71" s="62" t="str">
        <x:v>+48 23 672 99 02</x:v>
      </x:c>
      <x:c r="M71" s="62" t="str"/>
      <x:c r="N71" s="62" t="str"/>
      <x:c r="O71" s="62" t="str"/>
      <x:c r="P71" s="62" t="str">
        <x:v>ul. Niechodzka 4A, Ciechanów</x:v>
      </x:c>
      <x:c r="Q71" s="62" t="str"/>
      <x:c r="R71" s="62" t="str"/>
      <x:c r="S71" s="62" t="str">
        <x:v>Papierosy | Chemia gospodarcza | Tytoń | Chemia gospodarcza</x:v>
      </x:c>
      <x:c r="T71" s="62" t="str">
        <x:f>IF(AND(K71&lt;&gt;"",L71&lt;&gt;"",O71&lt;&gt;""),"Pełny",IF(OR(K71&lt;&gt;"",L71&lt;&gt;""),"Częściowy","Brak bezpośredniego kontaktu"))</x:f>
        <x:v>Częściowy</x:v>
      </x:c>
      <x:c r="U71" s="62" t="str">
        <x:v>Nowy</x:v>
      </x:c>
      <x:c r="V71" s="62" t="str">
        <x:v>BILLS — hurt@bills.pl</x:v>
      </x:c>
      <x:c r="W71" s="62" t="str">
        <x:v>Dodać do kampanii regionalnej i wykonać follow-up telefoniczny</x:v>
      </x:c>
      <x:c r="X71" s="81" t="n">
        <x:f>IF(C71&gt;=82,'Model scoringu'!$B$4,IF(C71&gt;=72,'Model scoringu'!$B$5,IF(C71&gt;=58,'Model scoringu'!$B$6,"")))</x:f>
        <x:v>46234</x:v>
      </x:c>
      <x:c r="Y71" s="62" t="str">
        <x:v>Dostęp do sklepów tytoniowych i tradycyjnego handlu.</x:v>
      </x:c>
      <x:c r="Z71" s="62" t="str">
        <x:v>https://www.pkt.pl/szukaj/hurtownia-papierosow</x:v>
      </x:c>
      <x:c r="AA71" s="62" t="str">
        <x:v>Warto rozdzielić od rekordu ADGAR przy późniejszym czyszczeniu aliasów. | Status źródłowy: Do weryfikacji — katalog</x:v>
      </x:c>
      <x:c r="AB71" s="50" t="n">
        <x:v>22</x:v>
      </x:c>
      <x:c r="AC71" s="50" t="n">
        <x:v>15</x:v>
      </x:c>
      <x:c r="AD71" s="50" t="n">
        <x:v>11</x:v>
      </x:c>
      <x:c r="AE71" s="50" t="n">
        <x:v>6</x:v>
      </x:c>
      <x:c r="AF71" s="50" t="n">
        <x:v>10</x:v>
      </x:c>
      <x:c r="AG71" s="50" t="n">
        <x:v>7</x:v>
      </x:c>
      <x:c r="AH71" s="57" t="n">
        <x:v>0</x:v>
      </x:c>
    </x:row>
    <x:row r="72" ht="34" customHeight="1">
      <x:c r="A72" s="87" t="n">
        <x:v>70</x:v>
      </x:c>
      <x:c r="B72" s="88" t="str">
        <x:f>IF(C72&gt;=82,"A"&amp;1&amp;" — kontakt natychmiast",IF(C72&gt;=72,"A"&amp;2&amp;" — kontakt w 7 dni",IF(C72&gt;=58,"B — kampania regionalna",IF(C72&gt;=42,"C — weryfikacja i nurturing","D — niski priorytet/wykluczyć"))))</x:f>
        <x:v>B — kampania regionalna</x:v>
      </x:c>
      <x:c r="C72" s="88" t="n">
        <x:f>MAX(0,MIN(100,SUM(AB72:AG72)-AH72))</x:f>
        <x:v>71</x:v>
      </x:c>
      <x:c r="D72" s="62" t="str">
        <x:v>Świat Shishy</x:v>
      </x:c>
      <x:c r="E72" s="62" t="str">
        <x:v>Potencjalny reseller / odbiorca hurtowy</x:v>
      </x:c>
      <x:c r="F72" s="62" t="str">
        <x:v>S3 — Akcesoria dla palaczy/headshop</x:v>
      </x:c>
      <x:c r="G72" s="62" t="str">
        <x:v>Hurt ogólnopolski</x:v>
      </x:c>
      <x:c r="H72" s="62" t="str">
        <x:v>Ogólnopolska</x:v>
      </x:c>
      <x:c r="I72" s="62" t="str">
        <x:v>Ogólnopolska</x:v>
      </x:c>
      <x:c r="J72" s="62" t="str">
        <x:v>Średni</x:v>
      </x:c>
      <x:c r="K72" s="62" t="str"/>
      <x:c r="L72" s="62" t="str"/>
      <x:c r="M72" s="62" t="str"/>
      <x:c r="N72" s="62" t="str"/>
      <x:c r="O72" s="62" t="str">
        <x:v>https://swiatshishy.pl/content/...</x:v>
      </x:c>
      <x:c r="P72" s="62" t="str">
        <x:v>Poland-wide (online)</x:v>
      </x:c>
      <x:c r="Q72" s="62" t="str"/>
      <x:c r="R72" s="62" t="str"/>
      <x:c r="S72" s="62" t="str">
        <x:v>Akcesoria Tytoniowe | Headshop (Bonga, Shisha) | Tytoń | Hurt | Sklep Tytoniowy</x:v>
      </x:c>
      <x:c r="T72" s="62" t="str">
        <x:f>IF(AND(K72&lt;&gt;"",L72&lt;&gt;"",O72&lt;&gt;""),"Pełny",IF(OR(K72&lt;&gt;"",L72&lt;&gt;""),"Częściowy","Brak bezpośredniego kontaktu"))</x:f>
        <x:v>Brak bezpośredniego kontaktu</x:v>
      </x:c>
      <x:c r="U72" s="62" t="str">
        <x:v>Nowy</x:v>
      </x:c>
      <x:c r="V72" s="62" t="str">
        <x:v>BILLS — hurt@bills.pl</x:v>
      </x:c>
      <x:c r="W72" s="62" t="str">
        <x:v>Dodać do kampanii regionalnej i wykonać follow-up telefoniczny</x:v>
      </x:c>
      <x:c r="X72" s="81" t="n">
        <x:f>IF(C72&gt;=82,'Model scoringu'!$B$4,IF(C72&gt;=72,'Model scoringu'!$B$5,IF(C72&gt;=58,'Model scoringu'!$B$6,"")))</x:f>
        <x:v>46234</x:v>
      </x:c>
      <x:c r="Y72" s="62" t="str">
        <x:v>Sprzedaż komplementarnych akcesoriów dla palaczy; zasięg ponadregionalny.</x:v>
      </x:c>
      <x:c r="Z72" s="62" t="str">
        <x:v>https://swiatshishy.pl/content/...</x:v>
      </x:c>
      <x:c r="AA72" s="62" t="str">
        <x:v>Nie potwierdzone | Status źródłowy: Niezweryfikowany</x:v>
      </x:c>
      <x:c r="AB72" s="50" t="n">
        <x:v>18</x:v>
      </x:c>
      <x:c r="AC72" s="50" t="n">
        <x:v>18</x:v>
      </x:c>
      <x:c r="AD72" s="50" t="n">
        <x:v>15</x:v>
      </x:c>
      <x:c r="AE72" s="50" t="n">
        <x:v>5</x:v>
      </x:c>
      <x:c r="AF72" s="50" t="n">
        <x:v>10</x:v>
      </x:c>
      <x:c r="AG72" s="50" t="n">
        <x:v>10</x:v>
      </x:c>
      <x:c r="AH72" s="57" t="n">
        <x:v>5</x:v>
      </x:c>
    </x:row>
    <x:row r="73" ht="34" customHeight="1">
      <x:c r="A73" s="87" t="n">
        <x:v>71</x:v>
      </x:c>
      <x:c r="B73" s="88" t="str">
        <x:f>IF(C73&gt;=82,"A"&amp;1&amp;" — kontakt natychmiast",IF(C73&gt;=72,"A"&amp;2&amp;" — kontakt w 7 dni",IF(C73&gt;=58,"B — kampania regionalna",IF(C73&gt;=42,"C — weryfikacja i nurturing","D — niski priorytet/wykluczyć"))))</x:f>
        <x:v>B — kampania regionalna</x:v>
      </x:c>
      <x:c r="C73" s="88" t="n">
        <x:f>MAX(0,MIN(100,SUM(AB73:AG73)-AH73))</x:f>
        <x:v>71</x:v>
      </x:c>
      <x:c r="D73" s="62" t="str">
        <x:v>eMerkury</x:v>
      </x:c>
      <x:c r="E73" s="62" t="str">
        <x:v>Potencjalny reseller / odbiorca hurtowy</x:v>
      </x:c>
      <x:c r="F73" s="62" t="str">
        <x:v>S3 — Akcesoria dla palaczy/headshop</x:v>
      </x:c>
      <x:c r="G73" s="62" t="str">
        <x:v>Hurt ogólnopolski</x:v>
      </x:c>
      <x:c r="H73" s="62" t="str">
        <x:v>Ogólnopolska</x:v>
      </x:c>
      <x:c r="I73" s="62" t="str">
        <x:v>Ogólnopolska</x:v>
      </x:c>
      <x:c r="J73" s="62" t="str">
        <x:v>Średni</x:v>
      </x:c>
      <x:c r="K73" s="62" t="str"/>
      <x:c r="L73" s="62" t="str"/>
      <x:c r="M73" s="62" t="str"/>
      <x:c r="N73" s="62" t="str"/>
      <x:c r="O73" s="62" t="str">
        <x:v>https://emerkurysa.pl/manufact...</x:v>
      </x:c>
      <x:c r="P73" s="62" t="str">
        <x:v>Poland-wide</x:v>
      </x:c>
      <x:c r="Q73" s="62" t="str"/>
      <x:c r="R73" s="62" t="str"/>
      <x:c r="S73" s="62" t="str">
        <x:v>Akcesoria Tytoniowe | Hurt | Sklep Tytoniowy</x:v>
      </x:c>
      <x:c r="T73" s="62" t="str">
        <x:f>IF(AND(K73&lt;&gt;"",L73&lt;&gt;"",O73&lt;&gt;""),"Pełny",IF(OR(K73&lt;&gt;"",L73&lt;&gt;""),"Częściowy","Brak bezpośredniego kontaktu"))</x:f>
        <x:v>Brak bezpośredniego kontaktu</x:v>
      </x:c>
      <x:c r="U73" s="62" t="str">
        <x:v>Nowy</x:v>
      </x:c>
      <x:c r="V73" s="62" t="str">
        <x:v>BILLS — hurt@bills.pl</x:v>
      </x:c>
      <x:c r="W73" s="62" t="str">
        <x:v>Dodać do kampanii regionalnej i wykonać follow-up telefoniczny</x:v>
      </x:c>
      <x:c r="X73" s="81" t="n">
        <x:f>IF(C73&gt;=82,'Model scoringu'!$B$4,IF(C73&gt;=72,'Model scoringu'!$B$5,IF(C73&gt;=58,'Model scoringu'!$B$6,"")))</x:f>
        <x:v>46234</x:v>
      </x:c>
      <x:c r="Y73" s="62" t="str">
        <x:v>Sprzedaż komplementarnych akcesoriów dla palaczy; zasięg ponadregionalny.</x:v>
      </x:c>
      <x:c r="Z73" s="62" t="str">
        <x:v>https://emerkurysa.pl/manufact...</x:v>
      </x:c>
      <x:c r="AA73" s="62" t="str">
        <x:v>Status źródłowy: Niezweryfikowany</x:v>
      </x:c>
      <x:c r="AB73" s="50" t="n">
        <x:v>18</x:v>
      </x:c>
      <x:c r="AC73" s="50" t="n">
        <x:v>18</x:v>
      </x:c>
      <x:c r="AD73" s="50" t="n">
        <x:v>15</x:v>
      </x:c>
      <x:c r="AE73" s="50" t="n">
        <x:v>5</x:v>
      </x:c>
      <x:c r="AF73" s="50" t="n">
        <x:v>10</x:v>
      </x:c>
      <x:c r="AG73" s="50" t="n">
        <x:v>10</x:v>
      </x:c>
      <x:c r="AH73" s="57" t="n">
        <x:v>5</x:v>
      </x:c>
    </x:row>
    <x:row r="74" ht="34" customHeight="1">
      <x:c r="A74" s="87" t="n">
        <x:v>72</x:v>
      </x:c>
      <x:c r="B74" s="88" t="str">
        <x:f>IF(C74&gt;=82,"A"&amp;1&amp;" — kontakt natychmiast",IF(C74&gt;=72,"A"&amp;2&amp;" — kontakt w 7 dni",IF(C74&gt;=58,"B — kampania regionalna",IF(C74&gt;=42,"C — weryfikacja i nurturing","D — niski priorytet/wykluczyć"))))</x:f>
        <x:v>B — kampania regionalna</x:v>
      </x:c>
      <x:c r="C74" s="88" t="n">
        <x:f>MAX(0,MIN(100,SUM(AB74:AG74)-AH74))</x:f>
        <x:v>71</x:v>
      </x:c>
      <x:c r="D74" s="62" t="str">
        <x:v>VAS Sp. z o.o.</x:v>
      </x:c>
      <x:c r="E74" s="62" t="str">
        <x:v>Potencjalny reseller / odbiorca hurtowy</x:v>
      </x:c>
      <x:c r="F74" s="62" t="str">
        <x:v>S3 — Akcesoria dla palaczy/headshop</x:v>
      </x:c>
      <x:c r="G74" s="62" t="str">
        <x:v>Hurt ogólnopolski</x:v>
      </x:c>
      <x:c r="H74" s="62" t="str">
        <x:v>Ogólnopolska</x:v>
      </x:c>
      <x:c r="I74" s="62" t="str">
        <x:v>Chorzów</x:v>
      </x:c>
      <x:c r="J74" s="62" t="str">
        <x:v>Średni</x:v>
      </x:c>
      <x:c r="K74" s="62" t="str"/>
      <x:c r="L74" s="62" t="str"/>
      <x:c r="M74" s="62" t="str"/>
      <x:c r="N74" s="62" t="str"/>
      <x:c r="O74" s="62" t="str">
        <x:v>https://vas.com.pl/oferta/zapa...</x:v>
      </x:c>
      <x:c r="P74" s="62" t="str">
        <x:v>Chorzów / Śląskie (ul. Łagodna 15)</x:v>
      </x:c>
      <x:c r="Q74" s="62" t="str"/>
      <x:c r="R74" s="62" t="str"/>
      <x:c r="S74" s="62" t="str">
        <x:v>Akcesoria Tytoniowe | Hurt | Sklep Tytoniowy</x:v>
      </x:c>
      <x:c r="T74" s="62" t="str">
        <x:f>IF(AND(K74&lt;&gt;"",L74&lt;&gt;"",O74&lt;&gt;""),"Pełny",IF(OR(K74&lt;&gt;"",L74&lt;&gt;""),"Częściowy","Brak bezpośredniego kontaktu"))</x:f>
        <x:v>Brak bezpośredniego kontaktu</x:v>
      </x:c>
      <x:c r="U74" s="62" t="str">
        <x:v>Nowy</x:v>
      </x:c>
      <x:c r="V74" s="62" t="str">
        <x:v>BILLS — hurt@bills.pl</x:v>
      </x:c>
      <x:c r="W74" s="62" t="str">
        <x:v>Dodać do kampanii regionalnej i wykonać follow-up telefoniczny</x:v>
      </x:c>
      <x:c r="X74" s="81" t="n">
        <x:f>IF(C74&gt;=82,'Model scoringu'!$B$4,IF(C74&gt;=72,'Model scoringu'!$B$5,IF(C74&gt;=58,'Model scoringu'!$B$6,"")))</x:f>
        <x:v>46234</x:v>
      </x:c>
      <x:c r="Y74" s="62" t="str">
        <x:v>Sprzedaż komplementarnych akcesoriów dla palaczy; zasięg ponadregionalny.</x:v>
      </x:c>
      <x:c r="Z74" s="62" t="str">
        <x:v>https://vas.com.pl/oferta/zapa...</x:v>
      </x:c>
      <x:c r="AA74" s="62" t="str">
        <x:v>Status źródłowy: Niezweryfikowany</x:v>
      </x:c>
      <x:c r="AB74" s="50" t="n">
        <x:v>18</x:v>
      </x:c>
      <x:c r="AC74" s="50" t="n">
        <x:v>18</x:v>
      </x:c>
      <x:c r="AD74" s="50" t="n">
        <x:v>15</x:v>
      </x:c>
      <x:c r="AE74" s="50" t="n">
        <x:v>5</x:v>
      </x:c>
      <x:c r="AF74" s="50" t="n">
        <x:v>10</x:v>
      </x:c>
      <x:c r="AG74" s="50" t="n">
        <x:v>10</x:v>
      </x:c>
      <x:c r="AH74" s="57" t="n">
        <x:v>5</x:v>
      </x:c>
    </x:row>
    <x:row r="75" ht="34" customHeight="1">
      <x:c r="A75" s="87" t="n">
        <x:v>73</x:v>
      </x:c>
      <x:c r="B75" s="88" t="str">
        <x:f>IF(C75&gt;=82,"A"&amp;1&amp;" — kontakt natychmiast",IF(C75&gt;=72,"A"&amp;2&amp;" — kontakt w 7 dni",IF(C75&gt;=58,"B — kampania regionalna",IF(C75&gt;=42,"C — weryfikacja i nurturing","D — niski priorytet/wykluczyć"))))</x:f>
        <x:v>B — kampania regionalna</x:v>
      </x:c>
      <x:c r="C75" s="88" t="n">
        <x:f>MAX(0,MIN(100,SUM(AB75:AG75)-AH75))</x:f>
        <x:v>71</x:v>
      </x:c>
      <x:c r="D75" s="62" t="str">
        <x:v>Hookahteka.com</x:v>
      </x:c>
      <x:c r="E75" s="62" t="str">
        <x:v>Potencjalny reseller / odbiorca hurtowy</x:v>
      </x:c>
      <x:c r="F75" s="62" t="str">
        <x:v>S3 — Akcesoria dla palaczy/headshop</x:v>
      </x:c>
      <x:c r="G75" s="62" t="str">
        <x:v>Hurt ogólnopolski</x:v>
      </x:c>
      <x:c r="H75" s="62" t="str">
        <x:v>Ogólnopolska</x:v>
      </x:c>
      <x:c r="I75" s="62" t="str">
        <x:v>Ogólnopolska</x:v>
      </x:c>
      <x:c r="J75" s="62" t="str">
        <x:v>Nieustalona</x:v>
      </x:c>
      <x:c r="K75" s="62" t="str"/>
      <x:c r="L75" s="62" t="str"/>
      <x:c r="M75" s="62" t="str"/>
      <x:c r="N75" s="62" t="str"/>
      <x:c r="O75" s="62" t="str">
        <x:v>https://hookahteka.com/wspolpraca-hurtowa</x:v>
      </x:c>
      <x:c r="P75" s="62" t="str">
        <x:v>Poland-wide (online)</x:v>
      </x:c>
      <x:c r="Q75" s="62" t="str"/>
      <x:c r="R75" s="62" t="str"/>
      <x:c r="S75" s="62" t="str">
        <x:v>Akcesoria Tytoniowe | Tytoń | Hurt | Sklep Tytoniowy</x:v>
      </x:c>
      <x:c r="T75" s="62" t="str">
        <x:f>IF(AND(K75&lt;&gt;"",L75&lt;&gt;"",O75&lt;&gt;""),"Pełny",IF(OR(K75&lt;&gt;"",L75&lt;&gt;""),"Częściowy","Brak bezpośredniego kontaktu"))</x:f>
        <x:v>Brak bezpośredniego kontaktu</x:v>
      </x:c>
      <x:c r="U75" s="62" t="str">
        <x:v>Nowy</x:v>
      </x:c>
      <x:c r="V75" s="62" t="str">
        <x:v>BILLS — hurt@bills.pl</x:v>
      </x:c>
      <x:c r="W75" s="62" t="str">
        <x:v>Dodać do kampanii regionalnej i wykonać follow-up telefoniczny</x:v>
      </x:c>
      <x:c r="X75" s="81" t="n">
        <x:f>IF(C75&gt;=82,'Model scoringu'!$B$4,IF(C75&gt;=72,'Model scoringu'!$B$5,IF(C75&gt;=58,'Model scoringu'!$B$6,"")))</x:f>
        <x:v>46234</x:v>
      </x:c>
      <x:c r="Y75" s="62" t="str">
        <x:v>Sprzedaż komplementarnych akcesoriów dla palaczy; zasięg ponadregionalny.</x:v>
      </x:c>
      <x:c r="Z75" s="62" t="str">
        <x:v>https://hookahteka.com/wspolpraca-hurtowa</x:v>
      </x:c>
      <x:c r="AA75" s="62" t="str">
        <x:v>Status źródłowy: Niezweryfikowany</x:v>
      </x:c>
      <x:c r="AB75" s="50" t="n">
        <x:v>18</x:v>
      </x:c>
      <x:c r="AC75" s="50" t="n">
        <x:v>18</x:v>
      </x:c>
      <x:c r="AD75" s="50" t="n">
        <x:v>15</x:v>
      </x:c>
      <x:c r="AE75" s="50" t="n">
        <x:v>5</x:v>
      </x:c>
      <x:c r="AF75" s="50" t="n">
        <x:v>10</x:v>
      </x:c>
      <x:c r="AG75" s="50" t="n">
        <x:v>10</x:v>
      </x:c>
      <x:c r="AH75" s="57" t="n">
        <x:v>5</x:v>
      </x:c>
    </x:row>
    <x:row r="76" ht="34" customHeight="1">
      <x:c r="A76" s="87" t="n">
        <x:v>74</x:v>
      </x:c>
      <x:c r="B76" s="88" t="str">
        <x:f>IF(C76&gt;=82,"A"&amp;1&amp;" — kontakt natychmiast",IF(C76&gt;=72,"A"&amp;2&amp;" — kontakt w 7 dni",IF(C76&gt;=58,"B — kampania regionalna",IF(C76&gt;=42,"C — weryfikacja i nurturing","D — niski priorytet/wykluczyć"))))</x:f>
        <x:v>B — kampania regionalna</x:v>
      </x:c>
      <x:c r="C76" s="88" t="n">
        <x:f>MAX(0,MIN(100,SUM(AB76:AG76)-AH76))</x:f>
        <x:v>71</x:v>
      </x:c>
      <x:c r="D76" s="62" t="str">
        <x:v>Buszek.com / Hurt.Buszek.com</x:v>
      </x:c>
      <x:c r="E76" s="62" t="str">
        <x:v>Potencjalny reseller / odbiorca hurtowy</x:v>
      </x:c>
      <x:c r="F76" s="62" t="str">
        <x:v>S3 — Akcesoria dla palaczy/headshop</x:v>
      </x:c>
      <x:c r="G76" s="62" t="str">
        <x:v>Hurt ogólnopolski</x:v>
      </x:c>
      <x:c r="H76" s="62" t="str">
        <x:v>Ogólnopolska</x:v>
      </x:c>
      <x:c r="I76" s="62" t="str">
        <x:v>Ogólnopolska</x:v>
      </x:c>
      <x:c r="J76" s="62" t="str">
        <x:v>Średni</x:v>
      </x:c>
      <x:c r="K76" s="62" t="str"/>
      <x:c r="L76" s="62" t="str"/>
      <x:c r="M76" s="62" t="str"/>
      <x:c r="N76" s="62" t="str"/>
      <x:c r="O76" s="62" t="str">
        <x:v>https://buszek.com</x:v>
      </x:c>
      <x:c r="P76" s="62" t="str">
        <x:v>Poland-wide</x:v>
      </x:c>
      <x:c r="Q76" s="62" t="str"/>
      <x:c r="R76" s="62" t="str"/>
      <x:c r="S76" s="62" t="str">
        <x:v>Akcesoria Tytoniowe | Headshop (Bonga, Shisha) | Tytoń | Hurt | Sklep Tytoniowy</x:v>
      </x:c>
      <x:c r="T76" s="62" t="str">
        <x:f>IF(AND(K76&lt;&gt;"",L76&lt;&gt;"",O76&lt;&gt;""),"Pełny",IF(OR(K76&lt;&gt;"",L76&lt;&gt;""),"Częściowy","Brak bezpośredniego kontaktu"))</x:f>
        <x:v>Brak bezpośredniego kontaktu</x:v>
      </x:c>
      <x:c r="U76" s="62" t="str">
        <x:v>Nowy</x:v>
      </x:c>
      <x:c r="V76" s="62" t="str">
        <x:v>BILLS — hurt@bills.pl</x:v>
      </x:c>
      <x:c r="W76" s="62" t="str">
        <x:v>Dodać do kampanii regionalnej i wykonać follow-up telefoniczny</x:v>
      </x:c>
      <x:c r="X76" s="81" t="n">
        <x:f>IF(C76&gt;=82,'Model scoringu'!$B$4,IF(C76&gt;=72,'Model scoringu'!$B$5,IF(C76&gt;=58,'Model scoringu'!$B$6,"")))</x:f>
        <x:v>46234</x:v>
      </x:c>
      <x:c r="Y76" s="62" t="str">
        <x:v>Sprzedaż komplementarnych akcesoriów dla palaczy; zasięg ponadregionalny.</x:v>
      </x:c>
      <x:c r="Z76" s="62" t="str">
        <x:v>https://buszek.com</x:v>
      </x:c>
      <x:c r="AA76" s="62" t="str">
        <x:v>Nie potwierdzone | Status źródłowy: Niezweryfikowany</x:v>
      </x:c>
      <x:c r="AB76" s="50" t="n">
        <x:v>18</x:v>
      </x:c>
      <x:c r="AC76" s="50" t="n">
        <x:v>18</x:v>
      </x:c>
      <x:c r="AD76" s="50" t="n">
        <x:v>15</x:v>
      </x:c>
      <x:c r="AE76" s="50" t="n">
        <x:v>5</x:v>
      </x:c>
      <x:c r="AF76" s="50" t="n">
        <x:v>10</x:v>
      </x:c>
      <x:c r="AG76" s="50" t="n">
        <x:v>10</x:v>
      </x:c>
      <x:c r="AH76" s="57" t="n">
        <x:v>5</x:v>
      </x:c>
    </x:row>
    <x:row r="77" ht="34" customHeight="1">
      <x:c r="A77" s="87" t="n">
        <x:v>75</x:v>
      </x:c>
      <x:c r="B77" s="88" t="str">
        <x:f>IF(C77&gt;=82,"A"&amp;1&amp;" — kontakt natychmiast",IF(C77&gt;=72,"A"&amp;2&amp;" — kontakt w 7 dni",IF(C77&gt;=58,"B — kampania regionalna",IF(C77&gt;=42,"C — weryfikacja i nurturing","D — niski priorytet/wykluczyć"))))</x:f>
        <x:v>B — kampania regionalna</x:v>
      </x:c>
      <x:c r="C77" s="88" t="n">
        <x:f>MAX(0,MIN(100,SUM(AB77:AG77)-AH77))</x:f>
        <x:v>70</x:v>
      </x:c>
      <x:c r="D77" s="62" t="str">
        <x:v>Smoke.pl / Smoke Shop</x:v>
      </x:c>
      <x:c r="E77" s="62" t="str">
        <x:v>Partner cross-sell / kanał sąsiedni</x:v>
      </x:c>
      <x:c r="F77" s="62" t="str">
        <x:v>S4 — Vape/e-papierosy</x:v>
      </x:c>
      <x:c r="G77" s="62" t="str">
        <x:v>Hurt B2B + detal</x:v>
      </x:c>
      <x:c r="H77" s="62" t="str">
        <x:v>Ogólnopolska</x:v>
      </x:c>
      <x:c r="I77" s="62" t="str">
        <x:v>Łódź</x:v>
      </x:c>
      <x:c r="J77" s="62" t="str">
        <x:v>Średni</x:v>
      </x:c>
      <x:c r="K77" s="62" t="str"/>
      <x:c r="L77" s="62" t="str">
        <x:v>+48 452 454 726</x:v>
      </x:c>
      <x:c r="M77" s="62" t="str"/>
      <x:c r="N77" s="62" t="str"/>
      <x:c r="O77" s="62" t="str">
        <x:v>https://smoke.pl</x:v>
      </x:c>
      <x:c r="P77" s="62" t="str">
        <x:v>Al. Marsz. Józefa Piłsudskiego 15/23, 90-307 Łódź, Polska</x:v>
      </x:c>
      <x:c r="Q77" s="62" t="str"/>
      <x:c r="R77" s="62" t="str"/>
      <x:c r="S77" s="62" t="str">
        <x:v>Akcesoria Tytoniowe | Headshop (Bonga, Shisha) | Papierosy | Tytoń | Vape &amp; E-papierosy | Hurt | Sklep Tytoniowy</x:v>
      </x:c>
      <x:c r="T77" s="62" t="str">
        <x:f>IF(AND(K77&lt;&gt;"",L77&lt;&gt;"",O77&lt;&gt;""),"Pełny",IF(OR(K77&lt;&gt;"",L77&lt;&gt;""),"Częściowy","Brak bezpośredniego kontaktu"))</x:f>
        <x:v>Częściowy</x:v>
      </x:c>
      <x:c r="U77" s="62" t="str">
        <x:v>Nowy</x:v>
      </x:c>
      <x:c r="V77" s="62" t="str">
        <x:v>BILLS — hurt@bills.pl</x:v>
      </x:c>
      <x:c r="W77" s="62" t="str">
        <x:v>Dodać do kampanii regionalnej i wykonać follow-up telefoniczny</x:v>
      </x:c>
      <x:c r="X77" s="81" t="n">
        <x:f>IF(C77&gt;=82,'Model scoringu'!$B$4,IF(C77&gt;=72,'Model scoringu'!$B$5,IF(C77&gt;=58,'Model scoringu'!$B$6,"")))</x:f>
        <x:v>46234</x:v>
      </x:c>
      <x:c r="Y77" s="62" t="str">
        <x:v>Kanał sąsiedni z bazą klientów zainteresowanych produktami nikotynowymi; zasięg ponadregionalny.</x:v>
      </x:c>
      <x:c r="Z77" s="62" t="str">
        <x:v>https://smoke.pl</x:v>
      </x:c>
      <x:c r="AA77" s="62" t="str">
        <x:v>Nie potwierdzone | Status źródłowy: Niezweryfikowany</x:v>
      </x:c>
      <x:c r="AB77" s="50" t="n">
        <x:v>11</x:v>
      </x:c>
      <x:c r="AC77" s="50" t="n">
        <x:v>15</x:v>
      </x:c>
      <x:c r="AD77" s="50" t="n">
        <x:v>15</x:v>
      </x:c>
      <x:c r="AE77" s="50" t="n">
        <x:v>9</x:v>
      </x:c>
      <x:c r="AF77" s="50" t="n">
        <x:v>10</x:v>
      </x:c>
      <x:c r="AG77" s="50" t="n">
        <x:v>10</x:v>
      </x:c>
      <x:c r="AH77" s="57" t="n">
        <x:v>0</x:v>
      </x:c>
    </x:row>
    <x:row r="78" ht="34" customHeight="1">
      <x:c r="A78" s="87" t="n">
        <x:v>76</x:v>
      </x:c>
      <x:c r="B78" s="88" t="str">
        <x:f>IF(C78&gt;=82,"A"&amp;1&amp;" — kontakt natychmiast",IF(C78&gt;=72,"A"&amp;2&amp;" — kontakt w 7 dni",IF(C78&gt;=58,"B — kampania regionalna",IF(C78&gt;=42,"C — weryfikacja i nurturing","D — niski priorytet/wykluczyć"))))</x:f>
        <x:v>B — kampania regionalna</x:v>
      </x:c>
      <x:c r="C78" s="88" t="n">
        <x:f>MAX(0,MIN(100,SUM(AB78:AG78)-AH78))</x:f>
        <x:v>70</x:v>
      </x:c>
      <x:c r="D78" s="62" t="str">
        <x:v>Zefir Sp. z o.o. — hurtownia papierosów, chemii gospodarczej i kosmetyków</x:v>
      </x:c>
      <x:c r="E78" s="62" t="str">
        <x:v>Potencjalny reseller / odbiorca hurtowy</x:v>
      </x:c>
      <x:c r="F78" s="62" t="str">
        <x:v>S2 — Hurtownie tytoniowe/FMCG</x:v>
      </x:c>
      <x:c r="G78" s="62" t="str">
        <x:v>Hurt B2B regionalny</x:v>
      </x:c>
      <x:c r="H78" s="62" t="str">
        <x:v>Podlaskie</x:v>
      </x:c>
      <x:c r="I78" s="62" t="str">
        <x:v>Białystok</x:v>
      </x:c>
      <x:c r="J78" s="62" t="str">
        <x:v>Średni</x:v>
      </x:c>
      <x:c r="K78" s="62" t="str"/>
      <x:c r="L78" s="62" t="str"/>
      <x:c r="M78" s="62" t="str"/>
      <x:c r="N78" s="62" t="str"/>
      <x:c r="O78" s="62" t="str">
        <x:v>https://www.zefirhurt.com.pl</x:v>
      </x:c>
      <x:c r="P78" s="62" t="str">
        <x:v>ul. Jagienki 4, Białystok</x:v>
      </x:c>
      <x:c r="Q78" s="62" t="str"/>
      <x:c r="R78" s="62" t="str"/>
      <x:c r="S78" s="62" t="str">
        <x:v>Papierosy | Chemia gospodarcza | Kosmetyki | Produkty impulsowe | Tytoń | Chemia gospodarcza | Kosmetyki</x:v>
      </x:c>
      <x:c r="T78" s="62" t="str">
        <x:f>IF(AND(K78&lt;&gt;"",L78&lt;&gt;"",O78&lt;&gt;""),"Pełny",IF(OR(K78&lt;&gt;"",L78&lt;&gt;""),"Częściowy","Brak bezpośredniego kontaktu"))</x:f>
        <x:v>Brak bezpośredniego kontaktu</x:v>
      </x:c>
      <x:c r="U78" s="62" t="str">
        <x:v>Nowy</x:v>
      </x:c>
      <x:c r="V78" s="62" t="str">
        <x:v>BILLS — hurt@bills.pl</x:v>
      </x:c>
      <x:c r="W78" s="62" t="str">
        <x:v>Dodać do kampanii regionalnej i wykonać follow-up telefoniczny</x:v>
      </x:c>
      <x:c r="X78" s="81" t="n">
        <x:f>IF(C78&gt;=82,'Model scoringu'!$B$4,IF(C78&gt;=72,'Model scoringu'!$B$5,IF(C78&gt;=58,'Model scoringu'!$B$6,"")))</x:f>
        <x:v>46234</x:v>
      </x:c>
      <x:c r="Y78" s="62" t="str">
        <x:v>Dostęp do sklepów tytoniowych i tradycyjnego handlu.</x:v>
      </x:c>
      <x:c r="Z78" s="62" t="str">
        <x:v>https://www.pkt.pl/szukaj/hurtownia-papierosow | https://www.zefirhurt.com.pl</x:v>
      </x:c>
      <x:c r="AA78" s="62" t="str">
        <x:v>Status źródłowy: Do weryfikacji — katalog</x:v>
      </x:c>
      <x:c r="AB78" s="50" t="n">
        <x:v>22</x:v>
      </x:c>
      <x:c r="AC78" s="50" t="n">
        <x:v>15</x:v>
      </x:c>
      <x:c r="AD78" s="50" t="n">
        <x:v>11</x:v>
      </x:c>
      <x:c r="AE78" s="50" t="n">
        <x:v>5</x:v>
      </x:c>
      <x:c r="AF78" s="50" t="n">
        <x:v>10</x:v>
      </x:c>
      <x:c r="AG78" s="50" t="n">
        <x:v>7</x:v>
      </x:c>
      <x:c r="AH78" s="57" t="n">
        <x:v>0</x:v>
      </x:c>
    </x:row>
    <x:row r="79" ht="34" customHeight="1">
      <x:c r="A79" s="87" t="n">
        <x:v>77</x:v>
      </x:c>
      <x:c r="B79" s="88" t="str">
        <x:f>IF(C79&gt;=82,"A"&amp;1&amp;" — kontakt natychmiast",IF(C79&gt;=72,"A"&amp;2&amp;" — kontakt w 7 dni",IF(C79&gt;=58,"B — kampania regionalna",IF(C79&gt;=42,"C — weryfikacja i nurturing","D — niski priorytet/wykluczyć"))))</x:f>
        <x:v>B — kampania regionalna</x:v>
      </x:c>
      <x:c r="C79" s="88" t="n">
        <x:f>MAX(0,MIN(100,SUM(AB79:AG79)-AH79))</x:f>
        <x:v>69</x:v>
      </x:c>
      <x:c r="D79" s="62" t="str">
        <x:v>Allegro: PAVOLT_pl</x:v>
      </x:c>
      <x:c r="E79" s="62" t="str">
        <x:v>Potencjalny reseller / odbiorca hurtowy</x:v>
      </x:c>
      <x:c r="F79" s="62" t="str">
        <x:v>S1 — RYO/MYO, gilzy i nabijarki</x:v>
      </x:c>
      <x:c r="G79" s="62" t="str">
        <x:v>Marketplace/sprzedawca online</x:v>
      </x:c>
      <x:c r="H79" s="62" t="str">
        <x:v>Śląskie</x:v>
      </x:c>
      <x:c r="I79" s="62" t="str"/>
      <x:c r="J79" s="62" t="str">
        <x:v>Nieustalona</x:v>
      </x:c>
      <x:c r="K79" s="62" t="str">
        <x:v>sklep@pavolt.pl</x:v>
      </x:c>
      <x:c r="L79" s="62" t="str">
        <x:v>+48 735 222 777</x:v>
      </x:c>
      <x:c r="M79" s="62" t="str">
        <x:v>Właściciel / dział sprzedaży</x:v>
      </x:c>
      <x:c r="N79" s="62" t="str">
        <x:v>Sprzedaż internetowa</x:v>
      </x:c>
      <x:c r="O79" s="62" t="str">
        <x:v>https://allegro.pl/uzytkownik/PAVOLT_pl</x:v>
      </x:c>
      <x:c r="P79" s="62" t="str">
        <x:v>Główna 8, 42-256 Zrębice</x:v>
      </x:c>
      <x:c r="Q79" s="62" t="str"/>
      <x:c r="R79" s="62" t="str"/>
      <x:c r="S79" s="62" t="str">
        <x:v>Nabijarki | Akcesoria | Sprzedawca Allegro</x:v>
      </x:c>
      <x:c r="T79" s="62" t="str">
        <x:f>IF(AND(K79&lt;&gt;"",L79&lt;&gt;"",O79&lt;&gt;""),"Pełny",IF(OR(K79&lt;&gt;"",L79&lt;&gt;""),"Częściowy","Brak bezpośredniego kontaktu"))</x:f>
        <x:v>Pełny</x:v>
      </x:c>
      <x:c r="U79" s="62" t="str">
        <x:v>Nowy</x:v>
      </x:c>
      <x:c r="V79" s="62" t="str">
        <x:v>BILLS — hurt@bills.pl</x:v>
      </x:c>
      <x:c r="W79" s="62" t="str">
        <x:v>Dodać do kampanii regionalnej i wykonać follow-up telefoniczny</x:v>
      </x:c>
      <x:c r="X79" s="81" t="n">
        <x:f>IF(C79&gt;=82,'Model scoringu'!$B$4,IF(C79&gt;=72,'Model scoringu'!$B$5,IF(C79&gt;=58,'Model scoringu'!$B$6,"")))</x:f>
        <x:v>46234</x:v>
      </x:c>
      <x:c r="Y79" s="62" t="str">
        <x:v>Bezpośrednie dopasowanie do ryo/myo, gilz lub nabijarek.</x:v>
      </x:c>
      <x:c r="Z79" s="62" t="str">
        <x:v>https://pavolt.pl/kontakt-f-1.html | https://allegro.pl/uzytkownik/PAVOLT_pl</x:v>
      </x:c>
      <x:c r="AA79" s="62" t="str">
        <x:v>Kilkanaście ofert, droższe urządzenia elektryczne. Dobry cel dla Bills ze stabilnym serwisem. | Status źródłowy: Niezweryfikowany</x:v>
      </x:c>
      <x:c r="AB79" s="50" t="n">
        <x:v>30</x:v>
      </x:c>
      <x:c r="AC79" s="50" t="n">
        <x:v>9</x:v>
      </x:c>
      <x:c r="AD79" s="50" t="n">
        <x:v>7</x:v>
      </x:c>
      <x:c r="AE79" s="50" t="n">
        <x:v>15</x:v>
      </x:c>
      <x:c r="AF79" s="50" t="n">
        <x:v>3</x:v>
      </x:c>
      <x:c r="AG79" s="50" t="n">
        <x:v>10</x:v>
      </x:c>
      <x:c r="AH79" s="57" t="n">
        <x:v>5</x:v>
      </x:c>
    </x:row>
    <x:row r="80" ht="34" customHeight="1">
      <x:c r="A80" s="87" t="n">
        <x:v>78</x:v>
      </x:c>
      <x:c r="B80" s="88" t="str">
        <x:f>IF(C80&gt;=82,"A"&amp;1&amp;" — kontakt natychmiast",IF(C80&gt;=72,"A"&amp;2&amp;" — kontakt w 7 dni",IF(C80&gt;=58,"B — kampania regionalna",IF(C80&gt;=42,"C — weryfikacja i nurturing","D — niski priorytet/wykluczyć"))))</x:f>
        <x:v>B — kampania regionalna</x:v>
      </x:c>
      <x:c r="C80" s="88" t="n">
        <x:f>MAX(0,MIN(100,SUM(AB80:AG80)-AH80))</x:f>
        <x:v>69</x:v>
      </x:c>
      <x:c r="D80" s="62" t="str">
        <x:v>Wojmar s.c.</x:v>
      </x:c>
      <x:c r="E80" s="62" t="str">
        <x:v>Potencjalny reseller / odbiorca hurtowy</x:v>
      </x:c>
      <x:c r="F80" s="62" t="str">
        <x:v>S2 — Hurtownie tytoniowe/FMCG</x:v>
      </x:c>
      <x:c r="G80" s="62" t="str">
        <x:v>Hurt B2B regionalny</x:v>
      </x:c>
      <x:c r="H80" s="62" t="str">
        <x:v>Lubelskie</x:v>
      </x:c>
      <x:c r="I80" s="62" t="str"/>
      <x:c r="J80" s="62" t="str">
        <x:v>Nieustalona</x:v>
      </x:c>
      <x:c r="K80" s="62" t="str">
        <x:v>wojmarsc1@gmail.com</x:v>
      </x:c>
      <x:c r="L80" s="62" t="str">
        <x:v>514 183 2xx</x:v>
      </x:c>
      <x:c r="M80" s="62" t="str"/>
      <x:c r="N80" s="62" t="str"/>
      <x:c r="O80" s="62" t="str"/>
      <x:c r="P80" s="62" t="str"/>
      <x:c r="Q80" s="62" t="str"/>
      <x:c r="R80" s="62" t="str"/>
      <x:c r="S80" s="62" t="str">
        <x:v>Akcesoria | Tytoń</x:v>
      </x:c>
      <x:c r="T80" s="62" t="str">
        <x:f>IF(AND(K80&lt;&gt;"",L80&lt;&gt;"",O80&lt;&gt;""),"Pełny",IF(OR(K80&lt;&gt;"",L80&lt;&gt;""),"Częściowy","Brak bezpośredniego kontaktu"))</x:f>
        <x:v>Częściowy</x:v>
      </x:c>
      <x:c r="U80" s="62" t="str">
        <x:v>Nowy</x:v>
      </x:c>
      <x:c r="V80" s="62" t="str">
        <x:v>BILLS — hurt@bills.pl</x:v>
      </x:c>
      <x:c r="W80" s="62" t="str">
        <x:v>Dodać do kampanii regionalnej i wykonać follow-up telefoniczny</x:v>
      </x:c>
      <x:c r="X80" s="81" t="n">
        <x:f>IF(C80&gt;=82,'Model scoringu'!$B$4,IF(C80&gt;=72,'Model scoringu'!$B$5,IF(C80&gt;=58,'Model scoringu'!$B$6,"")))</x:f>
        <x:v>46234</x:v>
      </x:c>
      <x:c r="Y80" s="62" t="str">
        <x:v>Dostęp do sklepów tytoniowych i tradycyjnego handlu.</x:v>
      </x:c>
      <x:c r="Z80" s="62" t="str"/>
      <x:c r="AA80" s="62" t="str">
        <x:v>Z listy BISTA</x:v>
      </x:c>
      <x:c r="AB80" s="50" t="n">
        <x:v>22</x:v>
      </x:c>
      <x:c r="AC80" s="50" t="n">
        <x:v>15</x:v>
      </x:c>
      <x:c r="AD80" s="50" t="n">
        <x:v>7</x:v>
      </x:c>
      <x:c r="AE80" s="50" t="n">
        <x:v>10</x:v>
      </x:c>
      <x:c r="AF80" s="50" t="n">
        <x:v>10</x:v>
      </x:c>
      <x:c r="AG80" s="50" t="n">
        <x:v>5</x:v>
      </x:c>
      <x:c r="AH80" s="57" t="n">
        <x:v>0</x:v>
      </x:c>
    </x:row>
    <x:row r="81" ht="34" customHeight="1">
      <x:c r="A81" s="87" t="n">
        <x:v>79</x:v>
      </x:c>
      <x:c r="B81" s="88" t="str">
        <x:f>IF(C81&gt;=82,"A"&amp;1&amp;" — kontakt natychmiast",IF(C81&gt;=72,"A"&amp;2&amp;" — kontakt w 7 dni",IF(C81&gt;=58,"B — kampania regionalna",IF(C81&gt;=42,"C — weryfikacja i nurturing","D — niski priorytet/wykluczyć"))))</x:f>
        <x:v>B — kampania regionalna</x:v>
      </x:c>
      <x:c r="C81" s="88" t="n">
        <x:f>MAX(0,MIN(100,SUM(AB81:AG81)-AH81))</x:f>
        <x:v>69</x:v>
      </x:c>
      <x:c r="D81" s="62" t="str">
        <x:v>TOBACCO CONCEPT FACTORY</x:v>
      </x:c>
      <x:c r="E81" s="62" t="str">
        <x:v>Potencjalny reseller / odbiorca hurtowy</x:v>
      </x:c>
      <x:c r="F81" s="62" t="str">
        <x:v>S2 — Hurtownie tytoniowe/FMCG</x:v>
      </x:c>
      <x:c r="G81" s="62" t="str">
        <x:v>Hurt B2B regionalny</x:v>
      </x:c>
      <x:c r="H81" s="62" t="str">
        <x:v>Nieustalony</x:v>
      </x:c>
      <x:c r="I81" s="62" t="str"/>
      <x:c r="J81" s="62" t="str">
        <x:v>Nieustalona</x:v>
      </x:c>
      <x:c r="K81" s="62" t="str">
        <x:v>biuro@tcfgroup.eu</x:v>
      </x:c>
      <x:c r="L81" s="62" t="str">
        <x:v>508 101 7xx</x:v>
      </x:c>
      <x:c r="M81" s="62" t="str"/>
      <x:c r="N81" s="62" t="str"/>
      <x:c r="O81" s="62" t="str"/>
      <x:c r="P81" s="62" t="str"/>
      <x:c r="Q81" s="62" t="str"/>
      <x:c r="R81" s="62" t="str"/>
      <x:c r="S81" s="62" t="str">
        <x:v>Akcesoria | Tytoń</x:v>
      </x:c>
      <x:c r="T81" s="62" t="str">
        <x:f>IF(AND(K81&lt;&gt;"",L81&lt;&gt;"",O81&lt;&gt;""),"Pełny",IF(OR(K81&lt;&gt;"",L81&lt;&gt;""),"Częściowy","Brak bezpośredniego kontaktu"))</x:f>
        <x:v>Częściowy</x:v>
      </x:c>
      <x:c r="U81" s="62" t="str">
        <x:v>Nowy</x:v>
      </x:c>
      <x:c r="V81" s="62" t="str">
        <x:v>BILLS — hurt@bills.pl</x:v>
      </x:c>
      <x:c r="W81" s="62" t="str">
        <x:v>Dodać do kampanii regionalnej i wykonać follow-up telefoniczny</x:v>
      </x:c>
      <x:c r="X81" s="81" t="n">
        <x:f>IF(C81&gt;=82,'Model scoringu'!$B$4,IF(C81&gt;=72,'Model scoringu'!$B$5,IF(C81&gt;=58,'Model scoringu'!$B$6,"")))</x:f>
        <x:v>46234</x:v>
      </x:c>
      <x:c r="Y81" s="62" t="str">
        <x:v>Dostęp do sklepów tytoniowych i tradycyjnego handlu.</x:v>
      </x:c>
      <x:c r="Z81" s="62" t="str"/>
      <x:c r="AA81" s="62" t="str">
        <x:v>Z listy BISTA; kujawsko-pomorskie i małopolskie</x:v>
      </x:c>
      <x:c r="AB81" s="50" t="n">
        <x:v>22</x:v>
      </x:c>
      <x:c r="AC81" s="50" t="n">
        <x:v>15</x:v>
      </x:c>
      <x:c r="AD81" s="50" t="n">
        <x:v>7</x:v>
      </x:c>
      <x:c r="AE81" s="50" t="n">
        <x:v>10</x:v>
      </x:c>
      <x:c r="AF81" s="50" t="n">
        <x:v>10</x:v>
      </x:c>
      <x:c r="AG81" s="50" t="n">
        <x:v>5</x:v>
      </x:c>
      <x:c r="AH81" s="57" t="n">
        <x:v>0</x:v>
      </x:c>
    </x:row>
    <x:row r="82" ht="34" customHeight="1">
      <x:c r="A82" s="87" t="n">
        <x:v>80</x:v>
      </x:c>
      <x:c r="B82" s="88" t="str">
        <x:f>IF(C82&gt;=82,"A"&amp;1&amp;" — kontakt natychmiast",IF(C82&gt;=72,"A"&amp;2&amp;" — kontakt w 7 dni",IF(C82&gt;=58,"B — kampania regionalna",IF(C82&gt;=42,"C — weryfikacja i nurturing","D — niski priorytet/wykluczyć"))))</x:f>
        <x:v>B — kampania regionalna</x:v>
      </x:c>
      <x:c r="C82" s="88" t="n">
        <x:f>MAX(0,MIN(100,SUM(AB82:AG82)-AH82))</x:f>
        <x:v>69</x:v>
      </x:c>
      <x:c r="D82" s="62" t="str">
        <x:v>P.H.U. TRANS</x:v>
      </x:c>
      <x:c r="E82" s="62" t="str">
        <x:v>Potencjalny reseller / odbiorca hurtowy</x:v>
      </x:c>
      <x:c r="F82" s="62" t="str">
        <x:v>S2 — Hurtownie tytoniowe/FMCG</x:v>
      </x:c>
      <x:c r="G82" s="62" t="str">
        <x:v>Hurt B2B regionalny</x:v>
      </x:c>
      <x:c r="H82" s="62" t="str">
        <x:v>Lubelskie</x:v>
      </x:c>
      <x:c r="I82" s="62" t="str"/>
      <x:c r="J82" s="62" t="str">
        <x:v>Nieustalona</x:v>
      </x:c>
      <x:c r="K82" s="62" t="str">
        <x:v>phnatiuk@wp.pl</x:v>
      </x:c>
      <x:c r="L82" s="62" t="str">
        <x:v>504 392 4xx</x:v>
      </x:c>
      <x:c r="M82" s="62" t="str"/>
      <x:c r="N82" s="62" t="str"/>
      <x:c r="O82" s="62" t="str"/>
      <x:c r="P82" s="62" t="str"/>
      <x:c r="Q82" s="62" t="str"/>
      <x:c r="R82" s="62" t="str"/>
      <x:c r="S82" s="62" t="str">
        <x:v>Akcesoria | Tytoń</x:v>
      </x:c>
      <x:c r="T82" s="62" t="str">
        <x:f>IF(AND(K82&lt;&gt;"",L82&lt;&gt;"",O82&lt;&gt;""),"Pełny",IF(OR(K82&lt;&gt;"",L82&lt;&gt;""),"Częściowy","Brak bezpośredniego kontaktu"))</x:f>
        <x:v>Częściowy</x:v>
      </x:c>
      <x:c r="U82" s="62" t="str">
        <x:v>Nowy</x:v>
      </x:c>
      <x:c r="V82" s="62" t="str">
        <x:v>BILLS — hurt@bills.pl</x:v>
      </x:c>
      <x:c r="W82" s="62" t="str">
        <x:v>Dodać do kampanii regionalnej i wykonać follow-up telefoniczny</x:v>
      </x:c>
      <x:c r="X82" s="81" t="n">
        <x:f>IF(C82&gt;=82,'Model scoringu'!$B$4,IF(C82&gt;=72,'Model scoringu'!$B$5,IF(C82&gt;=58,'Model scoringu'!$B$6,"")))</x:f>
        <x:v>46234</x:v>
      </x:c>
      <x:c r="Y82" s="62" t="str">
        <x:v>Dostęp do sklepów tytoniowych i tradycyjnego handlu.</x:v>
      </x:c>
      <x:c r="Z82" s="62" t="str"/>
      <x:c r="AA82" s="62" t="str">
        <x:v>Z listy BISTA</x:v>
      </x:c>
      <x:c r="AB82" s="50" t="n">
        <x:v>22</x:v>
      </x:c>
      <x:c r="AC82" s="50" t="n">
        <x:v>15</x:v>
      </x:c>
      <x:c r="AD82" s="50" t="n">
        <x:v>7</x:v>
      </x:c>
      <x:c r="AE82" s="50" t="n">
        <x:v>10</x:v>
      </x:c>
      <x:c r="AF82" s="50" t="n">
        <x:v>10</x:v>
      </x:c>
      <x:c r="AG82" s="50" t="n">
        <x:v>5</x:v>
      </x:c>
      <x:c r="AH82" s="57" t="n">
        <x:v>0</x:v>
      </x:c>
    </x:row>
    <x:row r="83" ht="34" customHeight="1">
      <x:c r="A83" s="87" t="n">
        <x:v>81</x:v>
      </x:c>
      <x:c r="B83" s="88" t="str">
        <x:f>IF(C83&gt;=82,"A"&amp;1&amp;" — kontakt natychmiast",IF(C83&gt;=72,"A"&amp;2&amp;" — kontakt w 7 dni",IF(C83&gt;=58,"B — kampania regionalna",IF(C83&gt;=42,"C — weryfikacja i nurturing","D — niski priorytet/wykluczyć"))))</x:f>
        <x:v>B — kampania regionalna</x:v>
      </x:c>
      <x:c r="C83" s="88" t="n">
        <x:f>MAX(0,MIN(100,SUM(AB83:AG83)-AH83))</x:f>
        <x:v>69</x:v>
      </x:c>
      <x:c r="D83" s="62" t="str">
        <x:v>MATPIO Mariusz Wieliczko</x:v>
      </x:c>
      <x:c r="E83" s="62" t="str">
        <x:v>Potencjalny reseller / odbiorca hurtowy</x:v>
      </x:c>
      <x:c r="F83" s="62" t="str">
        <x:v>S2 — Hurtownie tytoniowe/FMCG</x:v>
      </x:c>
      <x:c r="G83" s="62" t="str">
        <x:v>Hurt B2B regionalny</x:v>
      </x:c>
      <x:c r="H83" s="62" t="str">
        <x:v>Lubelskie</x:v>
      </x:c>
      <x:c r="I83" s="62" t="str"/>
      <x:c r="J83" s="62" t="str">
        <x:v>Nieustalona</x:v>
      </x:c>
      <x:c r="K83" s="62" t="str">
        <x:v>wieli@o2.pl</x:v>
      </x:c>
      <x:c r="L83" s="62" t="str">
        <x:v>609 774 7xx</x:v>
      </x:c>
      <x:c r="M83" s="62" t="str"/>
      <x:c r="N83" s="62" t="str"/>
      <x:c r="O83" s="62" t="str"/>
      <x:c r="P83" s="62" t="str"/>
      <x:c r="Q83" s="62" t="str"/>
      <x:c r="R83" s="62" t="str"/>
      <x:c r="S83" s="62" t="str">
        <x:v>Akcesoria | Tytoń</x:v>
      </x:c>
      <x:c r="T83" s="62" t="str">
        <x:f>IF(AND(K83&lt;&gt;"",L83&lt;&gt;"",O83&lt;&gt;""),"Pełny",IF(OR(K83&lt;&gt;"",L83&lt;&gt;""),"Częściowy","Brak bezpośredniego kontaktu"))</x:f>
        <x:v>Częściowy</x:v>
      </x:c>
      <x:c r="U83" s="62" t="str">
        <x:v>Nowy</x:v>
      </x:c>
      <x:c r="V83" s="62" t="str">
        <x:v>BILLS — hurt@bills.pl</x:v>
      </x:c>
      <x:c r="W83" s="62" t="str">
        <x:v>Dodać do kampanii regionalnej i wykonać follow-up telefoniczny</x:v>
      </x:c>
      <x:c r="X83" s="81" t="n">
        <x:f>IF(C83&gt;=82,'Model scoringu'!$B$4,IF(C83&gt;=72,'Model scoringu'!$B$5,IF(C83&gt;=58,'Model scoringu'!$B$6,"")))</x:f>
        <x:v>46234</x:v>
      </x:c>
      <x:c r="Y83" s="62" t="str">
        <x:v>Dostęp do sklepów tytoniowych i tradycyjnego handlu.</x:v>
      </x:c>
      <x:c r="Z83" s="62" t="str"/>
      <x:c r="AA83" s="62" t="str">
        <x:v>Z listy BISTA</x:v>
      </x:c>
      <x:c r="AB83" s="50" t="n">
        <x:v>22</x:v>
      </x:c>
      <x:c r="AC83" s="50" t="n">
        <x:v>15</x:v>
      </x:c>
      <x:c r="AD83" s="50" t="n">
        <x:v>7</x:v>
      </x:c>
      <x:c r="AE83" s="50" t="n">
        <x:v>10</x:v>
      </x:c>
      <x:c r="AF83" s="50" t="n">
        <x:v>10</x:v>
      </x:c>
      <x:c r="AG83" s="50" t="n">
        <x:v>5</x:v>
      </x:c>
      <x:c r="AH83" s="57" t="n">
        <x:v>0</x:v>
      </x:c>
    </x:row>
    <x:row r="84" ht="34" customHeight="1">
      <x:c r="A84" s="87" t="n">
        <x:v>82</x:v>
      </x:c>
      <x:c r="B84" s="88" t="str">
        <x:f>IF(C84&gt;=82,"A"&amp;1&amp;" — kontakt natychmiast",IF(C84&gt;=72,"A"&amp;2&amp;" — kontakt w 7 dni",IF(C84&gt;=58,"B — kampania regionalna",IF(C84&gt;=42,"C — weryfikacja i nurturing","D — niski priorytet/wykluczyć"))))</x:f>
        <x:v>B — kampania regionalna</x:v>
      </x:c>
      <x:c r="C84" s="88" t="n">
        <x:f>MAX(0,MIN(100,SUM(AB84:AG84)-AH84))</x:f>
        <x:v>69</x:v>
      </x:c>
      <x:c r="D84" s="62" t="str">
        <x:v>JABA Firma Handlowa</x:v>
      </x:c>
      <x:c r="E84" s="62" t="str">
        <x:v>Potencjalny reseller / odbiorca hurtowy</x:v>
      </x:c>
      <x:c r="F84" s="62" t="str">
        <x:v>S2 — Hurtownie tytoniowe/FMCG</x:v>
      </x:c>
      <x:c r="G84" s="62" t="str">
        <x:v>Hurt B2B regionalny</x:v>
      </x:c>
      <x:c r="H84" s="62" t="str">
        <x:v>Pomorskie</x:v>
      </x:c>
      <x:c r="I84" s="62" t="str"/>
      <x:c r="J84" s="62" t="str">
        <x:v>Nieustalona</x:v>
      </x:c>
      <x:c r="K84" s="62" t="str">
        <x:v>jbalcer352@gmail.com</x:v>
      </x:c>
      <x:c r="L84" s="62" t="str">
        <x:v>604 680 xxx</x:v>
      </x:c>
      <x:c r="M84" s="62" t="str"/>
      <x:c r="N84" s="62" t="str"/>
      <x:c r="O84" s="62" t="str"/>
      <x:c r="P84" s="62" t="str"/>
      <x:c r="Q84" s="62" t="str"/>
      <x:c r="R84" s="62" t="str"/>
      <x:c r="S84" s="62" t="str">
        <x:v>Akcesoria | Tytoń</x:v>
      </x:c>
      <x:c r="T84" s="62" t="str">
        <x:f>IF(AND(K84&lt;&gt;"",L84&lt;&gt;"",O84&lt;&gt;""),"Pełny",IF(OR(K84&lt;&gt;"",L84&lt;&gt;""),"Częściowy","Brak bezpośredniego kontaktu"))</x:f>
        <x:v>Częściowy</x:v>
      </x:c>
      <x:c r="U84" s="62" t="str">
        <x:v>Nowy</x:v>
      </x:c>
      <x:c r="V84" s="62" t="str">
        <x:v>BILLS — hurt@bills.pl</x:v>
      </x:c>
      <x:c r="W84" s="62" t="str">
        <x:v>Dodać do kampanii regionalnej i wykonać follow-up telefoniczny</x:v>
      </x:c>
      <x:c r="X84" s="81" t="n">
        <x:f>IF(C84&gt;=82,'Model scoringu'!$B$4,IF(C84&gt;=72,'Model scoringu'!$B$5,IF(C84&gt;=58,'Model scoringu'!$B$6,"")))</x:f>
        <x:v>46234</x:v>
      </x:c>
      <x:c r="Y84" s="62" t="str">
        <x:v>Dostęp do sklepów tytoniowych i tradycyjnego handlu.</x:v>
      </x:c>
      <x:c r="Z84" s="62" t="str"/>
      <x:c r="AA84" s="62" t="str">
        <x:v>Z listy BISTA</x:v>
      </x:c>
      <x:c r="AB84" s="50" t="n">
        <x:v>22</x:v>
      </x:c>
      <x:c r="AC84" s="50" t="n">
        <x:v>15</x:v>
      </x:c>
      <x:c r="AD84" s="50" t="n">
        <x:v>7</x:v>
      </x:c>
      <x:c r="AE84" s="50" t="n">
        <x:v>10</x:v>
      </x:c>
      <x:c r="AF84" s="50" t="n">
        <x:v>10</x:v>
      </x:c>
      <x:c r="AG84" s="50" t="n">
        <x:v>5</x:v>
      </x:c>
      <x:c r="AH84" s="57" t="n">
        <x:v>0</x:v>
      </x:c>
    </x:row>
    <x:row r="85" ht="34" customHeight="1">
      <x:c r="A85" s="87" t="n">
        <x:v>83</x:v>
      </x:c>
      <x:c r="B85" s="88" t="str">
        <x:f>IF(C85&gt;=82,"A"&amp;1&amp;" — kontakt natychmiast",IF(C85&gt;=72,"A"&amp;2&amp;" — kontakt w 7 dni",IF(C85&gt;=58,"B — kampania regionalna",IF(C85&gt;=42,"C — weryfikacja i nurturing","D — niski priorytet/wykluczyć"))))</x:f>
        <x:v>B — kampania regionalna</x:v>
      </x:c>
      <x:c r="C85" s="88" t="n">
        <x:f>MAX(0,MIN(100,SUM(AB85:AG85)-AH85))</x:f>
        <x:v>69</x:v>
      </x:c>
      <x:c r="D85" s="62" t="str">
        <x:v>Świat Alkoholi</x:v>
      </x:c>
      <x:c r="E85" s="62" t="str">
        <x:v>Potencjalny reseller / odbiorca hurtowy</x:v>
      </x:c>
      <x:c r="F85" s="62" t="str">
        <x:v>S3 — Akcesoria dla palaczy/headshop</x:v>
      </x:c>
      <x:c r="G85" s="62" t="str">
        <x:v>Hurt B2B + detal</x:v>
      </x:c>
      <x:c r="H85" s="62" t="str">
        <x:v>Śląskie</x:v>
      </x:c>
      <x:c r="I85" s="62" t="str">
        <x:v>Mikołów</x:v>
      </x:c>
      <x:c r="J85" s="62" t="str">
        <x:v>Nieustalona</x:v>
      </x:c>
      <x:c r="K85" s="62" t="str"/>
      <x:c r="L85" s="62" t="str">
        <x:v>+48 32 738 08 93</x:v>
      </x:c>
      <x:c r="M85" s="62" t="str"/>
      <x:c r="N85" s="62" t="str"/>
      <x:c r="O85" s="62" t="str">
        <x:v>http://www.swiatalkoholipolska.pl/sklepy/swiat-alkoholi-mikolow</x:v>
      </x:c>
      <x:c r="P85" s="62" t="str">
        <x:v>Krakowska 11, 43-196 Mikołów, Polska</x:v>
      </x:c>
      <x:c r="Q85" s="62" t="str"/>
      <x:c r="R85" s="62" t="str"/>
      <x:c r="S85" s="62" t="str">
        <x:v>Akcesoria Tytoniowe | Tytoń | Hurt | Sklep Tytoniowy</x:v>
      </x:c>
      <x:c r="T85" s="62" t="str">
        <x:f>IF(AND(K85&lt;&gt;"",L85&lt;&gt;"",O85&lt;&gt;""),"Pełny",IF(OR(K85&lt;&gt;"",L85&lt;&gt;""),"Częściowy","Brak bezpośredniego kontaktu"))</x:f>
        <x:v>Częściowy</x:v>
      </x:c>
      <x:c r="U85" s="62" t="str">
        <x:v>Nowy</x:v>
      </x:c>
      <x:c r="V85" s="62" t="str">
        <x:v>BILLS — hurt@bills.pl</x:v>
      </x:c>
      <x:c r="W85" s="62" t="str">
        <x:v>Dodać do kampanii regionalnej i wykonać follow-up telefoniczny</x:v>
      </x:c>
      <x:c r="X85" s="81" t="n">
        <x:f>IF(C85&gt;=82,'Model scoringu'!$B$4,IF(C85&gt;=72,'Model scoringu'!$B$5,IF(C85&gt;=58,'Model scoringu'!$B$6,"")))</x:f>
        <x:v>46234</x:v>
      </x:c>
      <x:c r="Y85" s="62" t="str">
        <x:v>Sprzedaż komplementarnych akcesoriów dla palaczy.</x:v>
      </x:c>
      <x:c r="Z85" s="62" t="str">
        <x:v>http://www.swiatalkoholipolska.pl/sklepy/swiat-alkoholi-mikolow</x:v>
      </x:c>
      <x:c r="AA85" s="62" t="str">
        <x:v>Status źródłowy: Niezweryfikowany</x:v>
      </x:c>
      <x:c r="AB85" s="50" t="n">
        <x:v>18</x:v>
      </x:c>
      <x:c r="AC85" s="50" t="n">
        <x:v>15</x:v>
      </x:c>
      <x:c r="AD85" s="50" t="n">
        <x:v>7</x:v>
      </x:c>
      <x:c r="AE85" s="50" t="n">
        <x:v>9</x:v>
      </x:c>
      <x:c r="AF85" s="50" t="n">
        <x:v>10</x:v>
      </x:c>
      <x:c r="AG85" s="50" t="n">
        <x:v>10</x:v>
      </x:c>
      <x:c r="AH85" s="57" t="n">
        <x:v>0</x:v>
      </x:c>
    </x:row>
    <x:row r="86" ht="34" customHeight="1">
      <x:c r="A86" s="87" t="n">
        <x:v>84</x:v>
      </x:c>
      <x:c r="B86" s="88" t="str">
        <x:f>IF(C86&gt;=82,"A"&amp;1&amp;" — kontakt natychmiast",IF(C86&gt;=72,"A"&amp;2&amp;" — kontakt w 7 dni",IF(C86&gt;=58,"B — kampania regionalna",IF(C86&gt;=42,"C — weryfikacja i nurturing","D — niski priorytet/wykluczyć"))))</x:f>
        <x:v>B — kampania regionalna</x:v>
      </x:c>
      <x:c r="C86" s="88" t="n">
        <x:f>MAX(0,MIN(100,SUM(AB86:AG86)-AH86))</x:f>
        <x:v>69</x:v>
      </x:c>
      <x:c r="D86" s="62" t="str">
        <x:v>Trafika Tabak IQOS Partner</x:v>
      </x:c>
      <x:c r="E86" s="62" t="str">
        <x:v>Potencjalny reseller / odbiorca hurtowy</x:v>
      </x:c>
      <x:c r="F86" s="62" t="str">
        <x:v>S3 — Akcesoria dla palaczy/headshop</x:v>
      </x:c>
      <x:c r="G86" s="62" t="str">
        <x:v>Hurt B2B + detal</x:v>
      </x:c>
      <x:c r="H86" s="62" t="str">
        <x:v>Kujawsko-pomorskie</x:v>
      </x:c>
      <x:c r="I86" s="62" t="str">
        <x:v>Inowrocław</x:v>
      </x:c>
      <x:c r="J86" s="62" t="str">
        <x:v>Nieustalona</x:v>
      </x:c>
      <x:c r="K86" s="62" t="str"/>
      <x:c r="L86" s="62" t="str">
        <x:v>+48 516 187 681</x:v>
      </x:c>
      <x:c r="M86" s="62" t="str"/>
      <x:c r="N86" s="62" t="str"/>
      <x:c r="O86" s="62" t="str">
        <x:v>http://www.tabakpolska.com.pl</x:v>
      </x:c>
      <x:c r="P86" s="62" t="str">
        <x:v>Poznańska 100, 88-100 Inowrocław, Polska</x:v>
      </x:c>
      <x:c r="Q86" s="62" t="str"/>
      <x:c r="R86" s="62" t="str"/>
      <x:c r="S86" s="62" t="str">
        <x:v>Akcesoria Tytoniowe | Tytoń | Hurt | Sklep Tytoniowy</x:v>
      </x:c>
      <x:c r="T86" s="62" t="str">
        <x:f>IF(AND(K86&lt;&gt;"",L86&lt;&gt;"",O86&lt;&gt;""),"Pełny",IF(OR(K86&lt;&gt;"",L86&lt;&gt;""),"Częściowy","Brak bezpośredniego kontaktu"))</x:f>
        <x:v>Częściowy</x:v>
      </x:c>
      <x:c r="U86" s="62" t="str">
        <x:v>Nowy</x:v>
      </x:c>
      <x:c r="V86" s="62" t="str">
        <x:v>BILLS — hurt@bills.pl</x:v>
      </x:c>
      <x:c r="W86" s="62" t="str">
        <x:v>Dodać do kampanii regionalnej i wykonać follow-up telefoniczny</x:v>
      </x:c>
      <x:c r="X86" s="81" t="n">
        <x:f>IF(C86&gt;=82,'Model scoringu'!$B$4,IF(C86&gt;=72,'Model scoringu'!$B$5,IF(C86&gt;=58,'Model scoringu'!$B$6,"")))</x:f>
        <x:v>46234</x:v>
      </x:c>
      <x:c r="Y86" s="62" t="str">
        <x:v>Sprzedaż komplementarnych akcesoriów dla palaczy.</x:v>
      </x:c>
      <x:c r="Z86" s="62" t="str">
        <x:v>http://www.tabakpolska.com.pl</x:v>
      </x:c>
      <x:c r="AA86" s="62" t="str">
        <x:v>Status źródłowy: Niezweryfikowany</x:v>
      </x:c>
      <x:c r="AB86" s="50" t="n">
        <x:v>18</x:v>
      </x:c>
      <x:c r="AC86" s="50" t="n">
        <x:v>15</x:v>
      </x:c>
      <x:c r="AD86" s="50" t="n">
        <x:v>7</x:v>
      </x:c>
      <x:c r="AE86" s="50" t="n">
        <x:v>9</x:v>
      </x:c>
      <x:c r="AF86" s="50" t="n">
        <x:v>10</x:v>
      </x:c>
      <x:c r="AG86" s="50" t="n">
        <x:v>10</x:v>
      </x:c>
      <x:c r="AH86" s="57" t="n">
        <x:v>0</x:v>
      </x:c>
    </x:row>
    <x:row r="87" ht="34" customHeight="1">
      <x:c r="A87" s="87" t="n">
        <x:v>85</x:v>
      </x:c>
      <x:c r="B87" s="88" t="str">
        <x:f>IF(C87&gt;=82,"A"&amp;1&amp;" — kontakt natychmiast",IF(C87&gt;=72,"A"&amp;2&amp;" — kontakt w 7 dni",IF(C87&gt;=58,"B — kampania regionalna",IF(C87&gt;=42,"C — weryfikacja i nurturing","D — niski priorytet/wykluczyć"))))</x:f>
        <x:v>B — kampania regionalna</x:v>
      </x:c>
      <x:c r="C87" s="88" t="n">
        <x:f>MAX(0,MIN(100,SUM(AB87:AG87)-AH87))</x:f>
        <x:v>69</x:v>
      </x:c>
      <x:c r="D87" s="62" t="str">
        <x:v>Trafica-Hurt S.C. (smokyhub.pl)</x:v>
      </x:c>
      <x:c r="E87" s="62" t="str">
        <x:v>Potencjalny reseller / odbiorca hurtowy</x:v>
      </x:c>
      <x:c r="F87" s="62" t="str">
        <x:v>S3 — Akcesoria dla palaczy/headshop</x:v>
      </x:c>
      <x:c r="G87" s="62" t="str">
        <x:v>Hurt B2B + detal</x:v>
      </x:c>
      <x:c r="H87" s="62" t="str">
        <x:v>Lubelskie</x:v>
      </x:c>
      <x:c r="I87" s="62" t="str">
        <x:v>Lublin</x:v>
      </x:c>
      <x:c r="J87" s="62" t="str">
        <x:v>Nieustalona</x:v>
      </x:c>
      <x:c r="K87" s="62" t="str"/>
      <x:c r="L87" s="62" t="str">
        <x:v>+48 81 744 30 40</x:v>
      </x:c>
      <x:c r="M87" s="62" t="str"/>
      <x:c r="N87" s="62" t="str"/>
      <x:c r="O87" s="62" t="str">
        <x:v>http://smokyhub.pl</x:v>
      </x:c>
      <x:c r="P87" s="62" t="str">
        <x:v>Krochmalna 22A, 20-401 Lublin, Polska</x:v>
      </x:c>
      <x:c r="Q87" s="62" t="str"/>
      <x:c r="R87" s="62" t="str"/>
      <x:c r="S87" s="62" t="str">
        <x:v>Akcesoria Tytoniowe | Tytoń | Hurt | Sklep Tytoniowy</x:v>
      </x:c>
      <x:c r="T87" s="62" t="str">
        <x:f>IF(AND(K87&lt;&gt;"",L87&lt;&gt;"",O87&lt;&gt;""),"Pełny",IF(OR(K87&lt;&gt;"",L87&lt;&gt;""),"Częściowy","Brak bezpośredniego kontaktu"))</x:f>
        <x:v>Częściowy</x:v>
      </x:c>
      <x:c r="U87" s="62" t="str">
        <x:v>Nowy</x:v>
      </x:c>
      <x:c r="V87" s="62" t="str">
        <x:v>BILLS — hurt@bills.pl</x:v>
      </x:c>
      <x:c r="W87" s="62" t="str">
        <x:v>Dodać do kampanii regionalnej i wykonać follow-up telefoniczny</x:v>
      </x:c>
      <x:c r="X87" s="81" t="n">
        <x:f>IF(C87&gt;=82,'Model scoringu'!$B$4,IF(C87&gt;=72,'Model scoringu'!$B$5,IF(C87&gt;=58,'Model scoringu'!$B$6,"")))</x:f>
        <x:v>46234</x:v>
      </x:c>
      <x:c r="Y87" s="62" t="str">
        <x:v>Sprzedaż komplementarnych akcesoriów dla palaczy.</x:v>
      </x:c>
      <x:c r="Z87" s="62" t="str">
        <x:v>http://smokyhub.pl</x:v>
      </x:c>
      <x:c r="AA87" s="62" t="str">
        <x:v>Status źródłowy: Niezweryfikowany</x:v>
      </x:c>
      <x:c r="AB87" s="50" t="n">
        <x:v>18</x:v>
      </x:c>
      <x:c r="AC87" s="50" t="n">
        <x:v>15</x:v>
      </x:c>
      <x:c r="AD87" s="50" t="n">
        <x:v>7</x:v>
      </x:c>
      <x:c r="AE87" s="50" t="n">
        <x:v>9</x:v>
      </x:c>
      <x:c r="AF87" s="50" t="n">
        <x:v>10</x:v>
      </x:c>
      <x:c r="AG87" s="50" t="n">
        <x:v>10</x:v>
      </x:c>
      <x:c r="AH87" s="57" t="n">
        <x:v>0</x:v>
      </x:c>
    </x:row>
    <x:row r="88" ht="34" customHeight="1">
      <x:c r="A88" s="87" t="n">
        <x:v>86</x:v>
      </x:c>
      <x:c r="B88" s="88" t="str">
        <x:f>IF(C88&gt;=82,"A"&amp;1&amp;" — kontakt natychmiast",IF(C88&gt;=72,"A"&amp;2&amp;" — kontakt w 7 dni",IF(C88&gt;=58,"B — kampania regionalna",IF(C88&gt;=42,"C — weryfikacja i nurturing","D — niski priorytet/wykluczyć"))))</x:f>
        <x:v>B — kampania regionalna</x:v>
      </x:c>
      <x:c r="C88" s="88" t="n">
        <x:f>MAX(0,MIN(100,SUM(AB88:AG88)-AH88))</x:f>
        <x:v>69</x:v>
      </x:c>
      <x:c r="D88" s="62" t="str">
        <x:v>Tobacco Trading International Poland Sp. z o.o.</x:v>
      </x:c>
      <x:c r="E88" s="62" t="str">
        <x:v>Potencjalny reseller / odbiorca hurtowy</x:v>
      </x:c>
      <x:c r="F88" s="62" t="str">
        <x:v>S3 — Akcesoria dla palaczy/headshop</x:v>
      </x:c>
      <x:c r="G88" s="62" t="str">
        <x:v>Hurt B2B + detal</x:v>
      </x:c>
      <x:c r="H88" s="62" t="str">
        <x:v>Małopolskie</x:v>
      </x:c>
      <x:c r="I88" s="62" t="str">
        <x:v>Modlnica</x:v>
      </x:c>
      <x:c r="J88" s="62" t="str">
        <x:v>Nieustalona</x:v>
      </x:c>
      <x:c r="K88" s="62" t="str"/>
      <x:c r="L88" s="62" t="str">
        <x:v>+48 12 420 91 30</x:v>
      </x:c>
      <x:c r="M88" s="62" t="str"/>
      <x:c r="N88" s="62" t="str"/>
      <x:c r="O88" s="62" t="str">
        <x:v>http://ttipoland.pl</x:v>
      </x:c>
      <x:c r="P88" s="62" t="str">
        <x:v>Częstochowska 38, 32-085 Modlnica, Polska</x:v>
      </x:c>
      <x:c r="Q88" s="62" t="str"/>
      <x:c r="R88" s="62" t="str"/>
      <x:c r="S88" s="62" t="str">
        <x:v>Akcesoria Tytoniowe | Tytoń | Hurt | Sklep Tytoniowy</x:v>
      </x:c>
      <x:c r="T88" s="62" t="str">
        <x:f>IF(AND(K88&lt;&gt;"",L88&lt;&gt;"",O88&lt;&gt;""),"Pełny",IF(OR(K88&lt;&gt;"",L88&lt;&gt;""),"Częściowy","Brak bezpośredniego kontaktu"))</x:f>
        <x:v>Częściowy</x:v>
      </x:c>
      <x:c r="U88" s="62" t="str">
        <x:v>Nowy</x:v>
      </x:c>
      <x:c r="V88" s="62" t="str">
        <x:v>BILLS — hurt@bills.pl</x:v>
      </x:c>
      <x:c r="W88" s="62" t="str">
        <x:v>Dodać do kampanii regionalnej i wykonać follow-up telefoniczny</x:v>
      </x:c>
      <x:c r="X88" s="81" t="n">
        <x:f>IF(C88&gt;=82,'Model scoringu'!$B$4,IF(C88&gt;=72,'Model scoringu'!$B$5,IF(C88&gt;=58,'Model scoringu'!$B$6,"")))</x:f>
        <x:v>46234</x:v>
      </x:c>
      <x:c r="Y88" s="62" t="str">
        <x:v>Sprzedaż komplementarnych akcesoriów dla palaczy.</x:v>
      </x:c>
      <x:c r="Z88" s="62" t="str">
        <x:v>http://ttipoland.pl</x:v>
      </x:c>
      <x:c r="AA88" s="62" t="str">
        <x:v>Status źródłowy: Niezweryfikowany</x:v>
      </x:c>
      <x:c r="AB88" s="50" t="n">
        <x:v>18</x:v>
      </x:c>
      <x:c r="AC88" s="50" t="n">
        <x:v>15</x:v>
      </x:c>
      <x:c r="AD88" s="50" t="n">
        <x:v>7</x:v>
      </x:c>
      <x:c r="AE88" s="50" t="n">
        <x:v>9</x:v>
      </x:c>
      <x:c r="AF88" s="50" t="n">
        <x:v>10</x:v>
      </x:c>
      <x:c r="AG88" s="50" t="n">
        <x:v>10</x:v>
      </x:c>
      <x:c r="AH88" s="57" t="n">
        <x:v>0</x:v>
      </x:c>
    </x:row>
    <x:row r="89" ht="34" customHeight="1">
      <x:c r="A89" s="87" t="n">
        <x:v>87</x:v>
      </x:c>
      <x:c r="B89" s="88" t="str">
        <x:f>IF(C89&gt;=82,"A"&amp;1&amp;" — kontakt natychmiast",IF(C89&gt;=72,"A"&amp;2&amp;" — kontakt w 7 dni",IF(C89&gt;=58,"B — kampania regionalna",IF(C89&gt;=42,"C — weryfikacja i nurturing","D — niski priorytet/wykluczyć"))))</x:f>
        <x:v>B — kampania regionalna</x:v>
      </x:c>
      <x:c r="C89" s="88" t="n">
        <x:f>MAX(0,MIN(100,SUM(AB89:AG89)-AH89))</x:f>
        <x:v>69</x:v>
      </x:c>
      <x:c r="D89" s="62" t="str">
        <x:v>Teks S.A.</x:v>
      </x:c>
      <x:c r="E89" s="62" t="str">
        <x:v>Potencjalny reseller / odbiorca hurtowy</x:v>
      </x:c>
      <x:c r="F89" s="62" t="str">
        <x:v>S3 — Akcesoria dla palaczy/headshop</x:v>
      </x:c>
      <x:c r="G89" s="62" t="str">
        <x:v>Hurt B2B + detal</x:v>
      </x:c>
      <x:c r="H89" s="62" t="str">
        <x:v>Świętokrzyskie</x:v>
      </x:c>
      <x:c r="I89" s="62" t="str">
        <x:v>Radom</x:v>
      </x:c>
      <x:c r="J89" s="62" t="str">
        <x:v>Nieustalona</x:v>
      </x:c>
      <x:c r="K89" s="62" t="str"/>
      <x:c r="L89" s="62" t="str">
        <x:v>+48 48 365 25 07</x:v>
      </x:c>
      <x:c r="M89" s="62" t="str"/>
      <x:c r="N89" s="62" t="str"/>
      <x:c r="O89" s="62" t="str">
        <x:v>http://www.tekssa.pl</x:v>
      </x:c>
      <x:c r="P89" s="62" t="str">
        <x:v>Biznesowa 8, 26-600 Radom, Polska</x:v>
      </x:c>
      <x:c r="Q89" s="62" t="str"/>
      <x:c r="R89" s="62" t="str"/>
      <x:c r="S89" s="62" t="str">
        <x:v>Akcesoria Tytoniowe | Tytoń | Hurt | Sklep Tytoniowy</x:v>
      </x:c>
      <x:c r="T89" s="62" t="str">
        <x:f>IF(AND(K89&lt;&gt;"",L89&lt;&gt;"",O89&lt;&gt;""),"Pełny",IF(OR(K89&lt;&gt;"",L89&lt;&gt;""),"Częściowy","Brak bezpośredniego kontaktu"))</x:f>
        <x:v>Częściowy</x:v>
      </x:c>
      <x:c r="U89" s="62" t="str">
        <x:v>Nowy</x:v>
      </x:c>
      <x:c r="V89" s="62" t="str">
        <x:v>BILLS — hurt@bills.pl</x:v>
      </x:c>
      <x:c r="W89" s="62" t="str">
        <x:v>Dodać do kampanii regionalnej i wykonać follow-up telefoniczny</x:v>
      </x:c>
      <x:c r="X89" s="81" t="n">
        <x:f>IF(C89&gt;=82,'Model scoringu'!$B$4,IF(C89&gt;=72,'Model scoringu'!$B$5,IF(C89&gt;=58,'Model scoringu'!$B$6,"")))</x:f>
        <x:v>46234</x:v>
      </x:c>
      <x:c r="Y89" s="62" t="str">
        <x:v>Sprzedaż komplementarnych akcesoriów dla palaczy.</x:v>
      </x:c>
      <x:c r="Z89" s="62" t="str">
        <x:v>http://www.tekssa.pl</x:v>
      </x:c>
      <x:c r="AA89" s="62" t="str">
        <x:v>Status źródłowy: Niezweryfikowany</x:v>
      </x:c>
      <x:c r="AB89" s="50" t="n">
        <x:v>18</x:v>
      </x:c>
      <x:c r="AC89" s="50" t="n">
        <x:v>15</x:v>
      </x:c>
      <x:c r="AD89" s="50" t="n">
        <x:v>7</x:v>
      </x:c>
      <x:c r="AE89" s="50" t="n">
        <x:v>9</x:v>
      </x:c>
      <x:c r="AF89" s="50" t="n">
        <x:v>10</x:v>
      </x:c>
      <x:c r="AG89" s="50" t="n">
        <x:v>10</x:v>
      </x:c>
      <x:c r="AH89" s="57" t="n">
        <x:v>0</x:v>
      </x:c>
    </x:row>
    <x:row r="90" ht="34" customHeight="1">
      <x:c r="A90" s="87" t="n">
        <x:v>88</x:v>
      </x:c>
      <x:c r="B90" s="88" t="str">
        <x:f>IF(C90&gt;=82,"A"&amp;1&amp;" — kontakt natychmiast",IF(C90&gt;=72,"A"&amp;2&amp;" — kontakt w 7 dni",IF(C90&gt;=58,"B — kampania regionalna",IF(C90&gt;=42,"C — weryfikacja i nurturing","D — niski priorytet/wykluczyć"))))</x:f>
        <x:v>B — kampania regionalna</x:v>
      </x:c>
      <x:c r="C90" s="88" t="n">
        <x:f>MAX(0,MIN(100,SUM(AB90:AG90)-AH90))</x:f>
        <x:v>69</x:v>
      </x:c>
      <x:c r="D90" s="62" t="str">
        <x:v>Supra - Papierosy dla klientów hurtowych</x:v>
      </x:c>
      <x:c r="E90" s="62" t="str">
        <x:v>Potencjalny reseller / odbiorca hurtowy</x:v>
      </x:c>
      <x:c r="F90" s="62" t="str">
        <x:v>S3 — Akcesoria dla palaczy/headshop</x:v>
      </x:c>
      <x:c r="G90" s="62" t="str">
        <x:v>Hurt B2B + detal</x:v>
      </x:c>
      <x:c r="H90" s="62" t="str">
        <x:v>Małopolskie</x:v>
      </x:c>
      <x:c r="I90" s="62" t="str">
        <x:v>Nowy Targ</x:v>
      </x:c>
      <x:c r="J90" s="62" t="str">
        <x:v>Nieustalona</x:v>
      </x:c>
      <x:c r="K90" s="62" t="str"/>
      <x:c r="L90" s="62" t="str">
        <x:v>+48 600 336 100</x:v>
      </x:c>
      <x:c r="M90" s="62" t="str"/>
      <x:c r="N90" s="62" t="str"/>
      <x:c r="O90" s="62" t="str">
        <x:v>https://e-supra.pl</x:v>
      </x:c>
      <x:c r="P90" s="62" t="str">
        <x:v>Ludźmierska 29, 34-400 Nowy Targ, Polska</x:v>
      </x:c>
      <x:c r="Q90" s="62" t="str"/>
      <x:c r="R90" s="62" t="str"/>
      <x:c r="S90" s="62" t="str">
        <x:v>Akcesoria Tytoniowe | Tytoń | Hurt | Sklep Tytoniowy</x:v>
      </x:c>
      <x:c r="T90" s="62" t="str">
        <x:f>IF(AND(K90&lt;&gt;"",L90&lt;&gt;"",O90&lt;&gt;""),"Pełny",IF(OR(K90&lt;&gt;"",L90&lt;&gt;""),"Częściowy","Brak bezpośredniego kontaktu"))</x:f>
        <x:v>Częściowy</x:v>
      </x:c>
      <x:c r="U90" s="62" t="str">
        <x:v>Nowy</x:v>
      </x:c>
      <x:c r="V90" s="62" t="str">
        <x:v>BILLS — hurt@bills.pl</x:v>
      </x:c>
      <x:c r="W90" s="62" t="str">
        <x:v>Dodać do kampanii regionalnej i wykonać follow-up telefoniczny</x:v>
      </x:c>
      <x:c r="X90" s="81" t="n">
        <x:f>IF(C90&gt;=82,'Model scoringu'!$B$4,IF(C90&gt;=72,'Model scoringu'!$B$5,IF(C90&gt;=58,'Model scoringu'!$B$6,"")))</x:f>
        <x:v>46234</x:v>
      </x:c>
      <x:c r="Y90" s="62" t="str">
        <x:v>Sprzedaż komplementarnych akcesoriów dla palaczy.</x:v>
      </x:c>
      <x:c r="Z90" s="62" t="str">
        <x:v>https://e-supra.pl</x:v>
      </x:c>
      <x:c r="AA90" s="62" t="str">
        <x:v>Status źródłowy: Niezweryfikowany</x:v>
      </x:c>
      <x:c r="AB90" s="50" t="n">
        <x:v>18</x:v>
      </x:c>
      <x:c r="AC90" s="50" t="n">
        <x:v>15</x:v>
      </x:c>
      <x:c r="AD90" s="50" t="n">
        <x:v>7</x:v>
      </x:c>
      <x:c r="AE90" s="50" t="n">
        <x:v>9</x:v>
      </x:c>
      <x:c r="AF90" s="50" t="n">
        <x:v>10</x:v>
      </x:c>
      <x:c r="AG90" s="50" t="n">
        <x:v>10</x:v>
      </x:c>
      <x:c r="AH90" s="57" t="n">
        <x:v>0</x:v>
      </x:c>
    </x:row>
    <x:row r="91" ht="34" customHeight="1">
      <x:c r="A91" s="87" t="n">
        <x:v>89</x:v>
      </x:c>
      <x:c r="B91" s="88" t="str">
        <x:f>IF(C91&gt;=82,"A"&amp;1&amp;" — kontakt natychmiast",IF(C91&gt;=72,"A"&amp;2&amp;" — kontakt w 7 dni",IF(C91&gt;=58,"B — kampania regionalna",IF(C91&gt;=42,"C — weryfikacja i nurturing","D — niski priorytet/wykluczyć"))))</x:f>
        <x:v>B — kampania regionalna</x:v>
      </x:c>
      <x:c r="C91" s="88" t="n">
        <x:f>MAX(0,MIN(100,SUM(AB91:AG91)-AH91))</x:f>
        <x:v>69</x:v>
      </x:c>
      <x:c r="D91" s="62" t="str">
        <x:v>Sklep po schodkach - piwo, wino, tanie papierosy</x:v>
      </x:c>
      <x:c r="E91" s="62" t="str">
        <x:v>Potencjalny reseller / odbiorca hurtowy</x:v>
      </x:c>
      <x:c r="F91" s="62" t="str">
        <x:v>S3 — Akcesoria dla palaczy/headshop</x:v>
      </x:c>
      <x:c r="G91" s="62" t="str">
        <x:v>Hurt B2B + detal</x:v>
      </x:c>
      <x:c r="H91" s="62" t="str">
        <x:v>Mazowieckie</x:v>
      </x:c>
      <x:c r="I91" s="62" t="str">
        <x:v>Warszawa</x:v>
      </x:c>
      <x:c r="J91" s="62" t="str">
        <x:v>Nieustalona</x:v>
      </x:c>
      <x:c r="K91" s="62" t="str"/>
      <x:c r="L91" s="62" t="str">
        <x:v>+48 518 985 675</x:v>
      </x:c>
      <x:c r="M91" s="62" t="str"/>
      <x:c r="N91" s="62" t="str"/>
      <x:c r="O91" s="62" t="str">
        <x:v>http://www.profinanceline.pl</x:v>
      </x:c>
      <x:c r="P91" s="62" t="str">
        <x:v>Zamieniecka 92, 04-158 Warszawa, Polska</x:v>
      </x:c>
      <x:c r="Q91" s="62" t="str"/>
      <x:c r="R91" s="62" t="str"/>
      <x:c r="S91" s="62" t="str">
        <x:v>Akcesoria Tytoniowe | Tytoń | Hurt | Sklep Tytoniowy</x:v>
      </x:c>
      <x:c r="T91" s="62" t="str">
        <x:f>IF(AND(K91&lt;&gt;"",L91&lt;&gt;"",O91&lt;&gt;""),"Pełny",IF(OR(K91&lt;&gt;"",L91&lt;&gt;""),"Częściowy","Brak bezpośredniego kontaktu"))</x:f>
        <x:v>Częściowy</x:v>
      </x:c>
      <x:c r="U91" s="62" t="str">
        <x:v>Nowy</x:v>
      </x:c>
      <x:c r="V91" s="62" t="str">
        <x:v>BILLS — hurt@bills.pl</x:v>
      </x:c>
      <x:c r="W91" s="62" t="str">
        <x:v>Dodać do kampanii regionalnej i wykonać follow-up telefoniczny</x:v>
      </x:c>
      <x:c r="X91" s="81" t="n">
        <x:f>IF(C91&gt;=82,'Model scoringu'!$B$4,IF(C91&gt;=72,'Model scoringu'!$B$5,IF(C91&gt;=58,'Model scoringu'!$B$6,"")))</x:f>
        <x:v>46234</x:v>
      </x:c>
      <x:c r="Y91" s="62" t="str">
        <x:v>Sprzedaż komplementarnych akcesoriów dla palaczy.</x:v>
      </x:c>
      <x:c r="Z91" s="62" t="str">
        <x:v>http://www.profinanceline.pl</x:v>
      </x:c>
      <x:c r="AA91" s="62" t="str">
        <x:v>Status źródłowy: Niezweryfikowany</x:v>
      </x:c>
      <x:c r="AB91" s="50" t="n">
        <x:v>18</x:v>
      </x:c>
      <x:c r="AC91" s="50" t="n">
        <x:v>15</x:v>
      </x:c>
      <x:c r="AD91" s="50" t="n">
        <x:v>7</x:v>
      </x:c>
      <x:c r="AE91" s="50" t="n">
        <x:v>9</x:v>
      </x:c>
      <x:c r="AF91" s="50" t="n">
        <x:v>10</x:v>
      </x:c>
      <x:c r="AG91" s="50" t="n">
        <x:v>10</x:v>
      </x:c>
      <x:c r="AH91" s="57" t="n">
        <x:v>0</x:v>
      </x:c>
    </x:row>
    <x:row r="92" ht="34" customHeight="1">
      <x:c r="A92" s="87" t="n">
        <x:v>90</x:v>
      </x:c>
      <x:c r="B92" s="88" t="str">
        <x:f>IF(C92&gt;=82,"A"&amp;1&amp;" — kontakt natychmiast",IF(C92&gt;=72,"A"&amp;2&amp;" — kontakt w 7 dni",IF(C92&gt;=58,"B — kampania regionalna",IF(C92&gt;=42,"C — weryfikacja i nurturing","D — niski priorytet/wykluczyć"))))</x:f>
        <x:v>B — kampania regionalna</x:v>
      </x:c>
      <x:c r="C92" s="88" t="n">
        <x:f>MAX(0,MIN(100,SUM(AB92:AG92)-AH92))</x:f>
        <x:v>69</x:v>
      </x:c>
      <x:c r="D92" s="62" t="str">
        <x:v>Sherlock Trafika</x:v>
      </x:c>
      <x:c r="E92" s="62" t="str">
        <x:v>Potencjalny reseller / odbiorca hurtowy</x:v>
      </x:c>
      <x:c r="F92" s="62" t="str">
        <x:v>S3 — Akcesoria dla palaczy/headshop</x:v>
      </x:c>
      <x:c r="G92" s="62" t="str">
        <x:v>Hurt B2B + detal</x:v>
      </x:c>
      <x:c r="H92" s="62" t="str">
        <x:v>Mazowieckie</x:v>
      </x:c>
      <x:c r="I92" s="62" t="str">
        <x:v>Warszawa</x:v>
      </x:c>
      <x:c r="J92" s="62" t="str">
        <x:v>Nieustalona</x:v>
      </x:c>
      <x:c r="K92" s="62" t="str"/>
      <x:c r="L92" s="62" t="str">
        <x:v>+48 606 163 537</x:v>
      </x:c>
      <x:c r="M92" s="62" t="str"/>
      <x:c r="N92" s="62" t="str"/>
      <x:c r="O92" s="62" t="str">
        <x:v>http://sherlocktrafika.pl</x:v>
      </x:c>
      <x:c r="P92" s="62" t="str">
        <x:v>Centrum LIM hotelu Marriott (podziemia) poziom -1, Al. Jerozolimskie 65/79, 00-697 Warszawa, Polska</x:v>
      </x:c>
      <x:c r="Q92" s="62" t="str"/>
      <x:c r="R92" s="62" t="str"/>
      <x:c r="S92" s="62" t="str">
        <x:v>Akcesoria Tytoniowe | Tytoń | Hurt | Sklep Tytoniowy</x:v>
      </x:c>
      <x:c r="T92" s="62" t="str">
        <x:f>IF(AND(K92&lt;&gt;"",L92&lt;&gt;"",O92&lt;&gt;""),"Pełny",IF(OR(K92&lt;&gt;"",L92&lt;&gt;""),"Częściowy","Brak bezpośredniego kontaktu"))</x:f>
        <x:v>Częściowy</x:v>
      </x:c>
      <x:c r="U92" s="62" t="str">
        <x:v>Nowy</x:v>
      </x:c>
      <x:c r="V92" s="62" t="str">
        <x:v>BILLS — hurt@bills.pl</x:v>
      </x:c>
      <x:c r="W92" s="62" t="str">
        <x:v>Dodać do kampanii regionalnej i wykonać follow-up telefoniczny</x:v>
      </x:c>
      <x:c r="X92" s="81" t="n">
        <x:f>IF(C92&gt;=82,'Model scoringu'!$B$4,IF(C92&gt;=72,'Model scoringu'!$B$5,IF(C92&gt;=58,'Model scoringu'!$B$6,"")))</x:f>
        <x:v>46234</x:v>
      </x:c>
      <x:c r="Y92" s="62" t="str">
        <x:v>Sprzedaż komplementarnych akcesoriów dla palaczy.</x:v>
      </x:c>
      <x:c r="Z92" s="62" t="str">
        <x:v>http://sherlocktrafika.pl</x:v>
      </x:c>
      <x:c r="AA92" s="62" t="str">
        <x:v>Status źródłowy: Niezweryfikowany</x:v>
      </x:c>
      <x:c r="AB92" s="50" t="n">
        <x:v>18</x:v>
      </x:c>
      <x:c r="AC92" s="50" t="n">
        <x:v>15</x:v>
      </x:c>
      <x:c r="AD92" s="50" t="n">
        <x:v>7</x:v>
      </x:c>
      <x:c r="AE92" s="50" t="n">
        <x:v>9</x:v>
      </x:c>
      <x:c r="AF92" s="50" t="n">
        <x:v>10</x:v>
      </x:c>
      <x:c r="AG92" s="50" t="n">
        <x:v>10</x:v>
      </x:c>
      <x:c r="AH92" s="57" t="n">
        <x:v>0</x:v>
      </x:c>
    </x:row>
    <x:row r="93" ht="34" customHeight="1">
      <x:c r="A93" s="87" t="n">
        <x:v>91</x:v>
      </x:c>
      <x:c r="B93" s="88" t="str">
        <x:f>IF(C93&gt;=82,"A"&amp;1&amp;" — kontakt natychmiast",IF(C93&gt;=72,"A"&amp;2&amp;" — kontakt w 7 dni",IF(C93&gt;=58,"B — kampania regionalna",IF(C93&gt;=42,"C — weryfikacja i nurturing","D — niski priorytet/wykluczyć"))))</x:f>
        <x:v>B — kampania regionalna</x:v>
      </x:c>
      <x:c r="C93" s="88" t="n">
        <x:f>MAX(0,MIN(100,SUM(AB93:AG93)-AH93))</x:f>
        <x:v>69</x:v>
      </x:c>
      <x:c r="D93" s="62" t="str">
        <x:v>Selgros</x:v>
      </x:c>
      <x:c r="E93" s="62" t="str">
        <x:v>Potencjalny reseller / odbiorca hurtowy</x:v>
      </x:c>
      <x:c r="F93" s="62" t="str">
        <x:v>S3 — Akcesoria dla palaczy/headshop</x:v>
      </x:c>
      <x:c r="G93" s="62" t="str">
        <x:v>Hurt B2B + detal</x:v>
      </x:c>
      <x:c r="H93" s="62" t="str">
        <x:v>Śląskie</x:v>
      </x:c>
      <x:c r="I93" s="62" t="str">
        <x:v>Bytom</x:v>
      </x:c>
      <x:c r="J93" s="62" t="str">
        <x:v>Nieustalona</x:v>
      </x:c>
      <x:c r="K93" s="62" t="str"/>
      <x:c r="L93" s="62" t="str">
        <x:v>+48 32 768 80 00</x:v>
      </x:c>
      <x:c r="M93" s="62" t="str"/>
      <x:c r="N93" s="62" t="str"/>
      <x:c r="O93" s="62" t="str">
        <x:v>http://www.selgros.pl</x:v>
      </x:c>
      <x:c r="P93" s="62" t="str">
        <x:v>Chorzowska 88a, 41-910 Bytom, Polska</x:v>
      </x:c>
      <x:c r="Q93" s="62" t="str"/>
      <x:c r="R93" s="62" t="str"/>
      <x:c r="S93" s="62" t="str">
        <x:v>Akcesoria Tytoniowe | Tytoń | Hurt | Sklep Tytoniowy</x:v>
      </x:c>
      <x:c r="T93" s="62" t="str">
        <x:f>IF(AND(K93&lt;&gt;"",L93&lt;&gt;"",O93&lt;&gt;""),"Pełny",IF(OR(K93&lt;&gt;"",L93&lt;&gt;""),"Częściowy","Brak bezpośredniego kontaktu"))</x:f>
        <x:v>Częściowy</x:v>
      </x:c>
      <x:c r="U93" s="62" t="str">
        <x:v>Nowy</x:v>
      </x:c>
      <x:c r="V93" s="62" t="str">
        <x:v>BILLS — hurt@bills.pl</x:v>
      </x:c>
      <x:c r="W93" s="62" t="str">
        <x:v>Dodać do kampanii regionalnej i wykonać follow-up telefoniczny</x:v>
      </x:c>
      <x:c r="X93" s="81" t="n">
        <x:f>IF(C93&gt;=82,'Model scoringu'!$B$4,IF(C93&gt;=72,'Model scoringu'!$B$5,IF(C93&gt;=58,'Model scoringu'!$B$6,"")))</x:f>
        <x:v>46234</x:v>
      </x:c>
      <x:c r="Y93" s="62" t="str">
        <x:v>Sprzedaż komplementarnych akcesoriów dla palaczy.</x:v>
      </x:c>
      <x:c r="Z93" s="62" t="str">
        <x:v>http://www.selgros.pl</x:v>
      </x:c>
      <x:c r="AA93" s="62" t="str">
        <x:v>Status źródłowy: Niezweryfikowany</x:v>
      </x:c>
      <x:c r="AB93" s="50" t="n">
        <x:v>18</x:v>
      </x:c>
      <x:c r="AC93" s="50" t="n">
        <x:v>15</x:v>
      </x:c>
      <x:c r="AD93" s="50" t="n">
        <x:v>7</x:v>
      </x:c>
      <x:c r="AE93" s="50" t="n">
        <x:v>9</x:v>
      </x:c>
      <x:c r="AF93" s="50" t="n">
        <x:v>10</x:v>
      </x:c>
      <x:c r="AG93" s="50" t="n">
        <x:v>10</x:v>
      </x:c>
      <x:c r="AH93" s="57" t="n">
        <x:v>0</x:v>
      </x:c>
    </x:row>
    <x:row r="94" ht="34" customHeight="1">
      <x:c r="A94" s="87" t="n">
        <x:v>92</x:v>
      </x:c>
      <x:c r="B94" s="88" t="str">
        <x:f>IF(C94&gt;=82,"A"&amp;1&amp;" — kontakt natychmiast",IF(C94&gt;=72,"A"&amp;2&amp;" — kontakt w 7 dni",IF(C94&gt;=58,"B — kampania regionalna",IF(C94&gt;=42,"C — weryfikacja i nurturing","D — niski priorytet/wykluczyć"))))</x:f>
        <x:v>B — kampania regionalna</x:v>
      </x:c>
      <x:c r="C94" s="88" t="n">
        <x:f>MAX(0,MIN(100,SUM(AB94:AG94)-AH94))</x:f>
        <x:v>69</x:v>
      </x:c>
      <x:c r="D94" s="62" t="str">
        <x:v>SOFLY</x:v>
      </x:c>
      <x:c r="E94" s="62" t="str">
        <x:v>Potencjalny reseller / odbiorca hurtowy</x:v>
      </x:c>
      <x:c r="F94" s="62" t="str">
        <x:v>S3 — Akcesoria dla palaczy/headshop</x:v>
      </x:c>
      <x:c r="G94" s="62" t="str">
        <x:v>Hurt B2B + detal</x:v>
      </x:c>
      <x:c r="H94" s="62" t="str">
        <x:v>Dolnośląskie</x:v>
      </x:c>
      <x:c r="I94" s="62" t="str">
        <x:v>Świdnica</x:v>
      </x:c>
      <x:c r="J94" s="62" t="str">
        <x:v>Nieustalona</x:v>
      </x:c>
      <x:c r="K94" s="62" t="str"/>
      <x:c r="L94" s="62" t="str">
        <x:v>+48 531 263 336</x:v>
      </x:c>
      <x:c r="M94" s="62" t="str"/>
      <x:c r="N94" s="62" t="str"/>
      <x:c r="O94" s="62" t="str">
        <x:v>https://sofly.club</x:v>
      </x:c>
      <x:c r="P94" s="62" t="str">
        <x:v>Westerplatte 18, 58-100 Świdnica, Polska</x:v>
      </x:c>
      <x:c r="Q94" s="62" t="str"/>
      <x:c r="R94" s="62" t="str"/>
      <x:c r="S94" s="62" t="str">
        <x:v>Akcesoria Tytoniowe | Tytoń | Hurt | Sklep Tytoniowy</x:v>
      </x:c>
      <x:c r="T94" s="62" t="str">
        <x:f>IF(AND(K94&lt;&gt;"",L94&lt;&gt;"",O94&lt;&gt;""),"Pełny",IF(OR(K94&lt;&gt;"",L94&lt;&gt;""),"Częściowy","Brak bezpośredniego kontaktu"))</x:f>
        <x:v>Częściowy</x:v>
      </x:c>
      <x:c r="U94" s="62" t="str">
        <x:v>Nowy</x:v>
      </x:c>
      <x:c r="V94" s="62" t="str">
        <x:v>BILLS — hurt@bills.pl</x:v>
      </x:c>
      <x:c r="W94" s="62" t="str">
        <x:v>Dodać do kampanii regionalnej i wykonać follow-up telefoniczny</x:v>
      </x:c>
      <x:c r="X94" s="81" t="n">
        <x:f>IF(C94&gt;=82,'Model scoringu'!$B$4,IF(C94&gt;=72,'Model scoringu'!$B$5,IF(C94&gt;=58,'Model scoringu'!$B$6,"")))</x:f>
        <x:v>46234</x:v>
      </x:c>
      <x:c r="Y94" s="62" t="str">
        <x:v>Sprzedaż komplementarnych akcesoriów dla palaczy.</x:v>
      </x:c>
      <x:c r="Z94" s="62" t="str">
        <x:v>https://sofly.club</x:v>
      </x:c>
      <x:c r="AA94" s="62" t="str">
        <x:v>Status źródłowy: Niezweryfikowany</x:v>
      </x:c>
      <x:c r="AB94" s="50" t="n">
        <x:v>18</x:v>
      </x:c>
      <x:c r="AC94" s="50" t="n">
        <x:v>15</x:v>
      </x:c>
      <x:c r="AD94" s="50" t="n">
        <x:v>7</x:v>
      </x:c>
      <x:c r="AE94" s="50" t="n">
        <x:v>9</x:v>
      </x:c>
      <x:c r="AF94" s="50" t="n">
        <x:v>10</x:v>
      </x:c>
      <x:c r="AG94" s="50" t="n">
        <x:v>10</x:v>
      </x:c>
      <x:c r="AH94" s="57" t="n">
        <x:v>0</x:v>
      </x:c>
    </x:row>
    <x:row r="95" ht="34" customHeight="1">
      <x:c r="A95" s="87" t="n">
        <x:v>93</x:v>
      </x:c>
      <x:c r="B95" s="88" t="str">
        <x:f>IF(C95&gt;=82,"A"&amp;1&amp;" — kontakt natychmiast",IF(C95&gt;=72,"A"&amp;2&amp;" — kontakt w 7 dni",IF(C95&gt;=58,"B — kampania regionalna",IF(C95&gt;=42,"C — weryfikacja i nurturing","D — niski priorytet/wykluczyć"))))</x:f>
        <x:v>B — kampania regionalna</x:v>
      </x:c>
      <x:c r="C95" s="88" t="n">
        <x:f>MAX(0,MIN(100,SUM(AB95:AG95)-AH95))</x:f>
        <x:v>69</x:v>
      </x:c>
      <x:c r="D95" s="62" t="str">
        <x:v>SAT Tomasz Sromek</x:v>
      </x:c>
      <x:c r="E95" s="62" t="str">
        <x:v>Potencjalny reseller / odbiorca hurtowy</x:v>
      </x:c>
      <x:c r="F95" s="62" t="str">
        <x:v>S3 — Akcesoria dla palaczy/headshop</x:v>
      </x:c>
      <x:c r="G95" s="62" t="str">
        <x:v>Hurt B2B + detal</x:v>
      </x:c>
      <x:c r="H95" s="62" t="str">
        <x:v>Małopolskie</x:v>
      </x:c>
      <x:c r="I95" s="62" t="str">
        <x:v>Nowy Sącz</x:v>
      </x:c>
      <x:c r="J95" s="62" t="str">
        <x:v>Nieustalona</x:v>
      </x:c>
      <x:c r="K95" s="62" t="str"/>
      <x:c r="L95" s="62" t="str">
        <x:v>+48 18 444 40 30</x:v>
      </x:c>
      <x:c r="M95" s="62" t="str"/>
      <x:c r="N95" s="62" t="str"/>
      <x:c r="O95" s="62" t="str">
        <x:v>http://hurtowniasat.pl</x:v>
      </x:c>
      <x:c r="P95" s="62" t="str">
        <x:v>Romana Stramki 8/10, 33-300 Nowy Sącz, Polska</x:v>
      </x:c>
      <x:c r="Q95" s="62" t="str"/>
      <x:c r="R95" s="62" t="str"/>
      <x:c r="S95" s="62" t="str">
        <x:v>Akcesoria Tytoniowe | Tytoń | Hurt | Sklep Tytoniowy</x:v>
      </x:c>
      <x:c r="T95" s="62" t="str">
        <x:f>IF(AND(K95&lt;&gt;"",L95&lt;&gt;"",O95&lt;&gt;""),"Pełny",IF(OR(K95&lt;&gt;"",L95&lt;&gt;""),"Częściowy","Brak bezpośredniego kontaktu"))</x:f>
        <x:v>Częściowy</x:v>
      </x:c>
      <x:c r="U95" s="62" t="str">
        <x:v>Nowy</x:v>
      </x:c>
      <x:c r="V95" s="62" t="str">
        <x:v>BILLS — hurt@bills.pl</x:v>
      </x:c>
      <x:c r="W95" s="62" t="str">
        <x:v>Dodać do kampanii regionalnej i wykonać follow-up telefoniczny</x:v>
      </x:c>
      <x:c r="X95" s="81" t="n">
        <x:f>IF(C95&gt;=82,'Model scoringu'!$B$4,IF(C95&gt;=72,'Model scoringu'!$B$5,IF(C95&gt;=58,'Model scoringu'!$B$6,"")))</x:f>
        <x:v>46234</x:v>
      </x:c>
      <x:c r="Y95" s="62" t="str">
        <x:v>Sprzedaż komplementarnych akcesoriów dla palaczy.</x:v>
      </x:c>
      <x:c r="Z95" s="62" t="str">
        <x:v>http://hurtowniasat.pl</x:v>
      </x:c>
      <x:c r="AA95" s="62" t="str">
        <x:v>Status źródłowy: Niezweryfikowany</x:v>
      </x:c>
      <x:c r="AB95" s="50" t="n">
        <x:v>18</x:v>
      </x:c>
      <x:c r="AC95" s="50" t="n">
        <x:v>15</x:v>
      </x:c>
      <x:c r="AD95" s="50" t="n">
        <x:v>7</x:v>
      </x:c>
      <x:c r="AE95" s="50" t="n">
        <x:v>9</x:v>
      </x:c>
      <x:c r="AF95" s="50" t="n">
        <x:v>10</x:v>
      </x:c>
      <x:c r="AG95" s="50" t="n">
        <x:v>10</x:v>
      </x:c>
      <x:c r="AH95" s="57" t="n">
        <x:v>0</x:v>
      </x:c>
    </x:row>
    <x:row r="96" ht="34" customHeight="1">
      <x:c r="A96" s="87" t="n">
        <x:v>94</x:v>
      </x:c>
      <x:c r="B96" s="88" t="str">
        <x:f>IF(C96&gt;=82,"A"&amp;1&amp;" — kontakt natychmiast",IF(C96&gt;=72,"A"&amp;2&amp;" — kontakt w 7 dni",IF(C96&gt;=58,"B — kampania regionalna",IF(C96&gt;=42,"C — weryfikacja i nurturing","D — niski priorytet/wykluczyć"))))</x:f>
        <x:v>B — kampania regionalna</x:v>
      </x:c>
      <x:c r="C96" s="88" t="n">
        <x:f>MAX(0,MIN(100,SUM(AB96:AG96)-AH96))</x:f>
        <x:v>69</x:v>
      </x:c>
      <x:c r="D96" s="62" t="str">
        <x:v>Redo Sp. z o.o. Hurtownia alkoholu</x:v>
      </x:c>
      <x:c r="E96" s="62" t="str">
        <x:v>Potencjalny reseller / odbiorca hurtowy</x:v>
      </x:c>
      <x:c r="F96" s="62" t="str">
        <x:v>S3 — Akcesoria dla palaczy/headshop</x:v>
      </x:c>
      <x:c r="G96" s="62" t="str">
        <x:v>Hurt B2B + detal</x:v>
      </x:c>
      <x:c r="H96" s="62" t="str">
        <x:v>Podlaskie</x:v>
      </x:c>
      <x:c r="I96" s="62" t="str">
        <x:v>Augustów</x:v>
      </x:c>
      <x:c r="J96" s="62" t="str">
        <x:v>Nieustalona</x:v>
      </x:c>
      <x:c r="K96" s="62" t="str"/>
      <x:c r="L96" s="62" t="str">
        <x:v>+48 87 643 23 62</x:v>
      </x:c>
      <x:c r="M96" s="62" t="str"/>
      <x:c r="N96" s="62" t="str"/>
      <x:c r="O96" s="62" t="str">
        <x:v>http://www.redo.pl/?pl,kontakt</x:v>
      </x:c>
      <x:c r="P96" s="62" t="str">
        <x:v>Tytoniowa 10, 16-300 Augustów, Polska</x:v>
      </x:c>
      <x:c r="Q96" s="62" t="str"/>
      <x:c r="R96" s="62" t="str"/>
      <x:c r="S96" s="62" t="str">
        <x:v>Akcesoria Tytoniowe | Tytoń | Hurt | Sklep Tytoniowy</x:v>
      </x:c>
      <x:c r="T96" s="62" t="str">
        <x:f>IF(AND(K96&lt;&gt;"",L96&lt;&gt;"",O96&lt;&gt;""),"Pełny",IF(OR(K96&lt;&gt;"",L96&lt;&gt;""),"Częściowy","Brak bezpośredniego kontaktu"))</x:f>
        <x:v>Częściowy</x:v>
      </x:c>
      <x:c r="U96" s="62" t="str">
        <x:v>Nowy</x:v>
      </x:c>
      <x:c r="V96" s="62" t="str">
        <x:v>BILLS — hurt@bills.pl</x:v>
      </x:c>
      <x:c r="W96" s="62" t="str">
        <x:v>Dodać do kampanii regionalnej i wykonać follow-up telefoniczny</x:v>
      </x:c>
      <x:c r="X96" s="81" t="n">
        <x:f>IF(C96&gt;=82,'Model scoringu'!$B$4,IF(C96&gt;=72,'Model scoringu'!$B$5,IF(C96&gt;=58,'Model scoringu'!$B$6,"")))</x:f>
        <x:v>46234</x:v>
      </x:c>
      <x:c r="Y96" s="62" t="str">
        <x:v>Sprzedaż komplementarnych akcesoriów dla palaczy.</x:v>
      </x:c>
      <x:c r="Z96" s="62" t="str">
        <x:v>http://www.redo.pl/?pl,kontakt</x:v>
      </x:c>
      <x:c r="AA96" s="62" t="str">
        <x:v>Status źródłowy: Niezweryfikowany</x:v>
      </x:c>
      <x:c r="AB96" s="50" t="n">
        <x:v>18</x:v>
      </x:c>
      <x:c r="AC96" s="50" t="n">
        <x:v>15</x:v>
      </x:c>
      <x:c r="AD96" s="50" t="n">
        <x:v>7</x:v>
      </x:c>
      <x:c r="AE96" s="50" t="n">
        <x:v>9</x:v>
      </x:c>
      <x:c r="AF96" s="50" t="n">
        <x:v>10</x:v>
      </x:c>
      <x:c r="AG96" s="50" t="n">
        <x:v>10</x:v>
      </x:c>
      <x:c r="AH96" s="57" t="n">
        <x:v>0</x:v>
      </x:c>
    </x:row>
    <x:row r="97" ht="34" customHeight="1">
      <x:c r="A97" s="87" t="n">
        <x:v>95</x:v>
      </x:c>
      <x:c r="B97" s="88" t="str">
        <x:f>IF(C97&gt;=82,"A"&amp;1&amp;" — kontakt natychmiast",IF(C97&gt;=72,"A"&amp;2&amp;" — kontakt w 7 dni",IF(C97&gt;=58,"B — kampania regionalna",IF(C97&gt;=42,"C — weryfikacja i nurturing","D — niski priorytet/wykluczyć"))))</x:f>
        <x:v>B — kampania regionalna</x:v>
      </x:c>
      <x:c r="C97" s="88" t="n">
        <x:f>MAX(0,MIN(100,SUM(AB97:AG97)-AH97))</x:f>
        <x:v>69</x:v>
      </x:c>
      <x:c r="D97" s="62" t="str">
        <x:v>Polska Grupa Tytoniowa</x:v>
      </x:c>
      <x:c r="E97" s="62" t="str">
        <x:v>Potencjalny reseller / odbiorca hurtowy</x:v>
      </x:c>
      <x:c r="F97" s="62" t="str">
        <x:v>S3 — Akcesoria dla palaczy/headshop</x:v>
      </x:c>
      <x:c r="G97" s="62" t="str">
        <x:v>Hurt B2B + detal</x:v>
      </x:c>
      <x:c r="H97" s="62" t="str">
        <x:v>Kujawsko-pomorskie</x:v>
      </x:c>
      <x:c r="I97" s="62" t="str">
        <x:v>Bydgoszcz</x:v>
      </x:c>
      <x:c r="J97" s="62" t="str">
        <x:v>Nieustalona</x:v>
      </x:c>
      <x:c r="K97" s="62" t="str"/>
      <x:c r="L97" s="62" t="str">
        <x:v>+48 502 494 942</x:v>
      </x:c>
      <x:c r="M97" s="62" t="str"/>
      <x:c r="N97" s="62" t="str"/>
      <x:c r="O97" s="62" t="str">
        <x:v>http://www.b2b.katalogpgt.pl</x:v>
      </x:c>
      <x:c r="P97" s="62" t="str">
        <x:v>Pińczowska 8, 85-877 Bydgoszcz, Polska</x:v>
      </x:c>
      <x:c r="Q97" s="62" t="str"/>
      <x:c r="R97" s="62" t="str"/>
      <x:c r="S97" s="62" t="str">
        <x:v>Akcesoria Tytoniowe | Tytoń | Hurt | Sklep Tytoniowy</x:v>
      </x:c>
      <x:c r="T97" s="62" t="str">
        <x:f>IF(AND(K97&lt;&gt;"",L97&lt;&gt;"",O97&lt;&gt;""),"Pełny",IF(OR(K97&lt;&gt;"",L97&lt;&gt;""),"Częściowy","Brak bezpośredniego kontaktu"))</x:f>
        <x:v>Częściowy</x:v>
      </x:c>
      <x:c r="U97" s="62" t="str">
        <x:v>Nowy</x:v>
      </x:c>
      <x:c r="V97" s="62" t="str">
        <x:v>BILLS — hurt@bills.pl</x:v>
      </x:c>
      <x:c r="W97" s="62" t="str">
        <x:v>Dodać do kampanii regionalnej i wykonać follow-up telefoniczny</x:v>
      </x:c>
      <x:c r="X97" s="81" t="n">
        <x:f>IF(C97&gt;=82,'Model scoringu'!$B$4,IF(C97&gt;=72,'Model scoringu'!$B$5,IF(C97&gt;=58,'Model scoringu'!$B$6,"")))</x:f>
        <x:v>46234</x:v>
      </x:c>
      <x:c r="Y97" s="62" t="str">
        <x:v>Sprzedaż komplementarnych akcesoriów dla palaczy.</x:v>
      </x:c>
      <x:c r="Z97" s="62" t="str">
        <x:v>http://www.b2b.katalogpgt.pl</x:v>
      </x:c>
      <x:c r="AA97" s="62" t="str">
        <x:v>Status źródłowy: Niezweryfikowany</x:v>
      </x:c>
      <x:c r="AB97" s="50" t="n">
        <x:v>18</x:v>
      </x:c>
      <x:c r="AC97" s="50" t="n">
        <x:v>15</x:v>
      </x:c>
      <x:c r="AD97" s="50" t="n">
        <x:v>7</x:v>
      </x:c>
      <x:c r="AE97" s="50" t="n">
        <x:v>9</x:v>
      </x:c>
      <x:c r="AF97" s="50" t="n">
        <x:v>10</x:v>
      </x:c>
      <x:c r="AG97" s="50" t="n">
        <x:v>10</x:v>
      </x:c>
      <x:c r="AH97" s="57" t="n">
        <x:v>0</x:v>
      </x:c>
    </x:row>
    <x:row r="98" ht="34" customHeight="1">
      <x:c r="A98" s="87" t="n">
        <x:v>96</x:v>
      </x:c>
      <x:c r="B98" s="88" t="str">
        <x:f>IF(C98&gt;=82,"A"&amp;1&amp;" — kontakt natychmiast",IF(C98&gt;=72,"A"&amp;2&amp;" — kontakt w 7 dni",IF(C98&gt;=58,"B — kampania regionalna",IF(C98&gt;=42,"C — weryfikacja i nurturing","D — niski priorytet/wykluczyć"))))</x:f>
        <x:v>B — kampania regionalna</x:v>
      </x:c>
      <x:c r="C98" s="88" t="n">
        <x:f>MAX(0,MIN(100,SUM(AB98:AG98)-AH98))</x:f>
        <x:v>69</x:v>
      </x:c>
      <x:c r="D98" s="62" t="str">
        <x:v>PHUP Gniezno Szeszycki sp.k.</x:v>
      </x:c>
      <x:c r="E98" s="62" t="str">
        <x:v>Potencjalny reseller / odbiorca hurtowy</x:v>
      </x:c>
      <x:c r="F98" s="62" t="str">
        <x:v>S3 — Akcesoria dla palaczy/headshop</x:v>
      </x:c>
      <x:c r="G98" s="62" t="str">
        <x:v>Hurt B2B + detal</x:v>
      </x:c>
      <x:c r="H98" s="62" t="str">
        <x:v>Opolskie</x:v>
      </x:c>
      <x:c r="I98" s="62" t="str">
        <x:v>Gniezno</x:v>
      </x:c>
      <x:c r="J98" s="62" t="str">
        <x:v>Nieustalona</x:v>
      </x:c>
      <x:c r="K98" s="62" t="str"/>
      <x:c r="L98" s="62" t="str">
        <x:v>+48 512 984 347</x:v>
      </x:c>
      <x:c r="M98" s="62" t="str"/>
      <x:c r="N98" s="62" t="str"/>
      <x:c r="O98" s="62" t="str">
        <x:v>http://www.phupgniezno.pl</x:v>
      </x:c>
      <x:c r="P98" s="62" t="str">
        <x:v>Orcholska 41, 62-200 Gniezno, Polska</x:v>
      </x:c>
      <x:c r="Q98" s="62" t="str"/>
      <x:c r="R98" s="62" t="str"/>
      <x:c r="S98" s="62" t="str">
        <x:v>Akcesoria Tytoniowe | Tytoń | Hurt | Sklep Tytoniowy</x:v>
      </x:c>
      <x:c r="T98" s="62" t="str">
        <x:f>IF(AND(K98&lt;&gt;"",L98&lt;&gt;"",O98&lt;&gt;""),"Pełny",IF(OR(K98&lt;&gt;"",L98&lt;&gt;""),"Częściowy","Brak bezpośredniego kontaktu"))</x:f>
        <x:v>Częściowy</x:v>
      </x:c>
      <x:c r="U98" s="62" t="str">
        <x:v>Nowy</x:v>
      </x:c>
      <x:c r="V98" s="62" t="str">
        <x:v>BILLS — hurt@bills.pl</x:v>
      </x:c>
      <x:c r="W98" s="62" t="str">
        <x:v>Dodać do kampanii regionalnej i wykonać follow-up telefoniczny</x:v>
      </x:c>
      <x:c r="X98" s="81" t="n">
        <x:f>IF(C98&gt;=82,'Model scoringu'!$B$4,IF(C98&gt;=72,'Model scoringu'!$B$5,IF(C98&gt;=58,'Model scoringu'!$B$6,"")))</x:f>
        <x:v>46234</x:v>
      </x:c>
      <x:c r="Y98" s="62" t="str">
        <x:v>Sprzedaż komplementarnych akcesoriów dla palaczy.</x:v>
      </x:c>
      <x:c r="Z98" s="62" t="str">
        <x:v>http://www.phupgniezno.pl</x:v>
      </x:c>
      <x:c r="AA98" s="62" t="str">
        <x:v>Status źródłowy: Niezweryfikowany</x:v>
      </x:c>
      <x:c r="AB98" s="50" t="n">
        <x:v>18</x:v>
      </x:c>
      <x:c r="AC98" s="50" t="n">
        <x:v>15</x:v>
      </x:c>
      <x:c r="AD98" s="50" t="n">
        <x:v>7</x:v>
      </x:c>
      <x:c r="AE98" s="50" t="n">
        <x:v>9</x:v>
      </x:c>
      <x:c r="AF98" s="50" t="n">
        <x:v>10</x:v>
      </x:c>
      <x:c r="AG98" s="50" t="n">
        <x:v>10</x:v>
      </x:c>
      <x:c r="AH98" s="57" t="n">
        <x:v>0</x:v>
      </x:c>
    </x:row>
    <x:row r="99" ht="34" customHeight="1">
      <x:c r="A99" s="87" t="n">
        <x:v>97</x:v>
      </x:c>
      <x:c r="B99" s="88" t="str">
        <x:f>IF(C99&gt;=82,"A"&amp;1&amp;" — kontakt natychmiast",IF(C99&gt;=72,"A"&amp;2&amp;" — kontakt w 7 dni",IF(C99&gt;=58,"B — kampania regionalna",IF(C99&gt;=42,"C — weryfikacja i nurturing","D — niski priorytet/wykluczyć"))))</x:f>
        <x:v>B — kampania regionalna</x:v>
      </x:c>
      <x:c r="C99" s="88" t="n">
        <x:f>MAX(0,MIN(100,SUM(AB99:AG99)-AH99))</x:f>
        <x:v>69</x:v>
      </x:c>
      <x:c r="D99" s="62" t="str">
        <x:v>P.H Mars sp.j</x:v>
      </x:c>
      <x:c r="E99" s="62" t="str">
        <x:v>Potencjalny reseller / odbiorca hurtowy</x:v>
      </x:c>
      <x:c r="F99" s="62" t="str">
        <x:v>S3 — Akcesoria dla palaczy/headshop</x:v>
      </x:c>
      <x:c r="G99" s="62" t="str">
        <x:v>Hurt B2B + detal</x:v>
      </x:c>
      <x:c r="H99" s="62" t="str">
        <x:v>Dolnośląskie</x:v>
      </x:c>
      <x:c r="I99" s="62" t="str">
        <x:v>Kamienna Góra</x:v>
      </x:c>
      <x:c r="J99" s="62" t="str">
        <x:v>Nieustalona</x:v>
      </x:c>
      <x:c r="K99" s="62" t="str"/>
      <x:c r="L99" s="62" t="str">
        <x:v>+48 75 744 38 77</x:v>
      </x:c>
      <x:c r="M99" s="62" t="str"/>
      <x:c r="N99" s="62" t="str"/>
      <x:c r="O99" s="62" t="str">
        <x:v>https://hurtowniamars.pl</x:v>
      </x:c>
      <x:c r="P99" s="62" t="str">
        <x:v>58-400 Kamienna Góra, Polska</x:v>
      </x:c>
      <x:c r="Q99" s="62" t="str"/>
      <x:c r="R99" s="62" t="str"/>
      <x:c r="S99" s="62" t="str">
        <x:v>Akcesoria Tytoniowe | Tytoń | Hurt | Sklep Tytoniowy</x:v>
      </x:c>
      <x:c r="T99" s="62" t="str">
        <x:f>IF(AND(K99&lt;&gt;"",L99&lt;&gt;"",O99&lt;&gt;""),"Pełny",IF(OR(K99&lt;&gt;"",L99&lt;&gt;""),"Częściowy","Brak bezpośredniego kontaktu"))</x:f>
        <x:v>Częściowy</x:v>
      </x:c>
      <x:c r="U99" s="62" t="str">
        <x:v>Nowy</x:v>
      </x:c>
      <x:c r="V99" s="62" t="str">
        <x:v>BILLS — hurt@bills.pl</x:v>
      </x:c>
      <x:c r="W99" s="62" t="str">
        <x:v>Dodać do kampanii regionalnej i wykonać follow-up telefoniczny</x:v>
      </x:c>
      <x:c r="X99" s="81" t="n">
        <x:f>IF(C99&gt;=82,'Model scoringu'!$B$4,IF(C99&gt;=72,'Model scoringu'!$B$5,IF(C99&gt;=58,'Model scoringu'!$B$6,"")))</x:f>
        <x:v>46234</x:v>
      </x:c>
      <x:c r="Y99" s="62" t="str">
        <x:v>Sprzedaż komplementarnych akcesoriów dla palaczy.</x:v>
      </x:c>
      <x:c r="Z99" s="62" t="str">
        <x:v>https://hurtowniamars.pl</x:v>
      </x:c>
      <x:c r="AA99" s="62" t="str">
        <x:v>Status źródłowy: Niezweryfikowany</x:v>
      </x:c>
      <x:c r="AB99" s="50" t="n">
        <x:v>18</x:v>
      </x:c>
      <x:c r="AC99" s="50" t="n">
        <x:v>15</x:v>
      </x:c>
      <x:c r="AD99" s="50" t="n">
        <x:v>7</x:v>
      </x:c>
      <x:c r="AE99" s="50" t="n">
        <x:v>9</x:v>
      </x:c>
      <x:c r="AF99" s="50" t="n">
        <x:v>10</x:v>
      </x:c>
      <x:c r="AG99" s="50" t="n">
        <x:v>10</x:v>
      </x:c>
      <x:c r="AH99" s="57" t="n">
        <x:v>0</x:v>
      </x:c>
    </x:row>
    <x:row r="100" ht="34" customHeight="1">
      <x:c r="A100" s="87" t="n">
        <x:v>98</x:v>
      </x:c>
      <x:c r="B100" s="88" t="str">
        <x:f>IF(C100&gt;=82,"A"&amp;1&amp;" — kontakt natychmiast",IF(C100&gt;=72,"A"&amp;2&amp;" — kontakt w 7 dni",IF(C100&gt;=58,"B — kampania regionalna",IF(C100&gt;=42,"C — weryfikacja i nurturing","D — niski priorytet/wykluczyć"))))</x:f>
        <x:v>B — kampania regionalna</x:v>
      </x:c>
      <x:c r="C100" s="88" t="n">
        <x:f>MAX(0,MIN(100,SUM(AB100:AG100)-AH100))</x:f>
        <x:v>69</x:v>
      </x:c>
      <x:c r="D100" s="62" t="str">
        <x:v>Mona hurtownia papierosów</x:v>
      </x:c>
      <x:c r="E100" s="62" t="str">
        <x:v>Potencjalny reseller / odbiorca hurtowy</x:v>
      </x:c>
      <x:c r="F100" s="62" t="str">
        <x:v>S3 — Akcesoria dla palaczy/headshop</x:v>
      </x:c>
      <x:c r="G100" s="62" t="str">
        <x:v>Hurt B2B + detal</x:v>
      </x:c>
      <x:c r="H100" s="62" t="str">
        <x:v>Małopolskie</x:v>
      </x:c>
      <x:c r="I100" s="62" t="str">
        <x:v>Kraków</x:v>
      </x:c>
      <x:c r="J100" s="62" t="str">
        <x:v>Nieustalona</x:v>
      </x:c>
      <x:c r="K100" s="62" t="str"/>
      <x:c r="L100" s="62" t="str">
        <x:v>+48 697 590 090</x:v>
      </x:c>
      <x:c r="M100" s="62" t="str"/>
      <x:c r="N100" s="62" t="str"/>
      <x:c r="O100" s="62" t="str">
        <x:v>http://www.mona.com.pl</x:v>
      </x:c>
      <x:c r="P100" s="62" t="str">
        <x:v>Saska 27, 30-720 Kraków, Polska</x:v>
      </x:c>
      <x:c r="Q100" s="62" t="str"/>
      <x:c r="R100" s="62" t="str"/>
      <x:c r="S100" s="62" t="str">
        <x:v>Akcesoria Tytoniowe | Tytoń | Hurt | Sklep Tytoniowy</x:v>
      </x:c>
      <x:c r="T100" s="62" t="str">
        <x:f>IF(AND(K100&lt;&gt;"",L100&lt;&gt;"",O100&lt;&gt;""),"Pełny",IF(OR(K100&lt;&gt;"",L100&lt;&gt;""),"Częściowy","Brak bezpośredniego kontaktu"))</x:f>
        <x:v>Częściowy</x:v>
      </x:c>
      <x:c r="U100" s="62" t="str">
        <x:v>Nowy</x:v>
      </x:c>
      <x:c r="V100" s="62" t="str">
        <x:v>BILLS — hurt@bills.pl</x:v>
      </x:c>
      <x:c r="W100" s="62" t="str">
        <x:v>Dodać do kampanii regionalnej i wykonać follow-up telefoniczny</x:v>
      </x:c>
      <x:c r="X100" s="81" t="n">
        <x:f>IF(C100&gt;=82,'Model scoringu'!$B$4,IF(C100&gt;=72,'Model scoringu'!$B$5,IF(C100&gt;=58,'Model scoringu'!$B$6,"")))</x:f>
        <x:v>46234</x:v>
      </x:c>
      <x:c r="Y100" s="62" t="str">
        <x:v>Sprzedaż komplementarnych akcesoriów dla palaczy.</x:v>
      </x:c>
      <x:c r="Z100" s="62" t="str">
        <x:v>http://www.mona.com.pl</x:v>
      </x:c>
      <x:c r="AA100" s="62" t="str">
        <x:v>Status źródłowy: Niezweryfikowany</x:v>
      </x:c>
      <x:c r="AB100" s="50" t="n">
        <x:v>18</x:v>
      </x:c>
      <x:c r="AC100" s="50" t="n">
        <x:v>15</x:v>
      </x:c>
      <x:c r="AD100" s="50" t="n">
        <x:v>7</x:v>
      </x:c>
      <x:c r="AE100" s="50" t="n">
        <x:v>9</x:v>
      </x:c>
      <x:c r="AF100" s="50" t="n">
        <x:v>10</x:v>
      </x:c>
      <x:c r="AG100" s="50" t="n">
        <x:v>10</x:v>
      </x:c>
      <x:c r="AH100" s="57" t="n">
        <x:v>0</x:v>
      </x:c>
    </x:row>
    <x:row r="101" ht="34" customHeight="1">
      <x:c r="A101" s="87" t="n">
        <x:v>99</x:v>
      </x:c>
      <x:c r="B101" s="88" t="str">
        <x:f>IF(C101&gt;=82,"A"&amp;1&amp;" — kontakt natychmiast",IF(C101&gt;=72,"A"&amp;2&amp;" — kontakt w 7 dni",IF(C101&gt;=58,"B — kampania regionalna",IF(C101&gt;=42,"C — weryfikacja i nurturing","D — niski priorytet/wykluczyć"))))</x:f>
        <x:v>B — kampania regionalna</x:v>
      </x:c>
      <x:c r="C101" s="88" t="n">
        <x:f>MAX(0,MIN(100,SUM(AB101:AG101)-AH101))</x:f>
        <x:v>69</x:v>
      </x:c>
      <x:c r="D101" s="62" t="str">
        <x:v>Lever Hurtownia Alkoholu i Papierosów</x:v>
      </x:c>
      <x:c r="E101" s="62" t="str">
        <x:v>Potencjalny reseller / odbiorca hurtowy</x:v>
      </x:c>
      <x:c r="F101" s="62" t="str">
        <x:v>S3 — Akcesoria dla palaczy/headshop</x:v>
      </x:c>
      <x:c r="G101" s="62" t="str">
        <x:v>Hurt B2B + detal</x:v>
      </x:c>
      <x:c r="H101" s="62" t="str">
        <x:v>Lubelskie</x:v>
      </x:c>
      <x:c r="I101" s="62" t="str">
        <x:v>Kraśnik</x:v>
      </x:c>
      <x:c r="J101" s="62" t="str">
        <x:v>Nieustalona</x:v>
      </x:c>
      <x:c r="K101" s="62" t="str"/>
      <x:c r="L101" s="62" t="str">
        <x:v>+48 81 825 02 17</x:v>
      </x:c>
      <x:c r="M101" s="62" t="str"/>
      <x:c r="N101" s="62" t="str"/>
      <x:c r="O101" s="62" t="str">
        <x:v>https://leverkrasnik.pl</x:v>
      </x:c>
      <x:c r="P101" s="62" t="str">
        <x:v>Kolejowa 8, 23-200 Kraśnik, Polska</x:v>
      </x:c>
      <x:c r="Q101" s="62" t="str"/>
      <x:c r="R101" s="62" t="str"/>
      <x:c r="S101" s="62" t="str">
        <x:v>Akcesoria Tytoniowe | Tytoń | Hurt | Sklep Tytoniowy</x:v>
      </x:c>
      <x:c r="T101" s="62" t="str">
        <x:f>IF(AND(K101&lt;&gt;"",L101&lt;&gt;"",O101&lt;&gt;""),"Pełny",IF(OR(K101&lt;&gt;"",L101&lt;&gt;""),"Częściowy","Brak bezpośredniego kontaktu"))</x:f>
        <x:v>Częściowy</x:v>
      </x:c>
      <x:c r="U101" s="62" t="str">
        <x:v>Nowy</x:v>
      </x:c>
      <x:c r="V101" s="62" t="str">
        <x:v>BILLS — hurt@bills.pl</x:v>
      </x:c>
      <x:c r="W101" s="62" t="str">
        <x:v>Dodać do kampanii regionalnej i wykonać follow-up telefoniczny</x:v>
      </x:c>
      <x:c r="X101" s="81" t="n">
        <x:f>IF(C101&gt;=82,'Model scoringu'!$B$4,IF(C101&gt;=72,'Model scoringu'!$B$5,IF(C101&gt;=58,'Model scoringu'!$B$6,"")))</x:f>
        <x:v>46234</x:v>
      </x:c>
      <x:c r="Y101" s="62" t="str">
        <x:v>Sprzedaż komplementarnych akcesoriów dla palaczy.</x:v>
      </x:c>
      <x:c r="Z101" s="62" t="str">
        <x:v>https://leverkrasnik.pl</x:v>
      </x:c>
      <x:c r="AA101" s="62" t="str">
        <x:v>Status źródłowy: Niezweryfikowany</x:v>
      </x:c>
      <x:c r="AB101" s="50" t="n">
        <x:v>18</x:v>
      </x:c>
      <x:c r="AC101" s="50" t="n">
        <x:v>15</x:v>
      </x:c>
      <x:c r="AD101" s="50" t="n">
        <x:v>7</x:v>
      </x:c>
      <x:c r="AE101" s="50" t="n">
        <x:v>9</x:v>
      </x:c>
      <x:c r="AF101" s="50" t="n">
        <x:v>10</x:v>
      </x:c>
      <x:c r="AG101" s="50" t="n">
        <x:v>10</x:v>
      </x:c>
      <x:c r="AH101" s="57" t="n">
        <x:v>0</x:v>
      </x:c>
    </x:row>
    <x:row r="102" ht="34" customHeight="1">
      <x:c r="A102" s="87" t="n">
        <x:v>100</x:v>
      </x:c>
      <x:c r="B102" s="88" t="str">
        <x:f>IF(C102&gt;=82,"A"&amp;1&amp;" — kontakt natychmiast",IF(C102&gt;=72,"A"&amp;2&amp;" — kontakt w 7 dni",IF(C102&gt;=58,"B — kampania regionalna",IF(C102&gt;=42,"C — weryfikacja i nurturing","D — niski priorytet/wykluczyć"))))</x:f>
        <x:v>B — kampania regionalna</x:v>
      </x:c>
      <x:c r="C102" s="88" t="n">
        <x:f>MAX(0,MIN(100,SUM(AB102:AG102)-AH102))</x:f>
        <x:v>69</x:v>
      </x:c>
      <x:c r="D102" s="62" t="str">
        <x:v>JUKA AKCESORIA TYTONIOWE JACEK MULARCZYK</x:v>
      </x:c>
      <x:c r="E102" s="62" t="str">
        <x:v>Potencjalny reseller / odbiorca hurtowy</x:v>
      </x:c>
      <x:c r="F102" s="62" t="str">
        <x:v>S3 — Akcesoria dla palaczy/headshop</x:v>
      </x:c>
      <x:c r="G102" s="62" t="str">
        <x:v>Hurt B2B + detal</x:v>
      </x:c>
      <x:c r="H102" s="62" t="str">
        <x:v>Pomorskie</x:v>
      </x:c>
      <x:c r="I102" s="62" t="str">
        <x:v>Gdańsk</x:v>
      </x:c>
      <x:c r="J102" s="62" t="str">
        <x:v>Nieustalona</x:v>
      </x:c>
      <x:c r="K102" s="62" t="str"/>
      <x:c r="L102" s="62" t="str">
        <x:v>+48 723 179 629</x:v>
      </x:c>
      <x:c r="M102" s="62" t="str"/>
      <x:c r="N102" s="62" t="str"/>
      <x:c r="O102" s="62" t="str">
        <x:v>https://jukaakcesoria.pl</x:v>
      </x:c>
      <x:c r="P102" s="62" t="str">
        <x:v>Jabłoniowa 56B, 80-175 Gdańsk, Polska</x:v>
      </x:c>
      <x:c r="Q102" s="62" t="str"/>
      <x:c r="R102" s="62" t="str"/>
      <x:c r="S102" s="62" t="str">
        <x:v>Akcesoria Tytoniowe | Tytoń | Hurt | Sklep Tytoniowy</x:v>
      </x:c>
      <x:c r="T102" s="62" t="str">
        <x:f>IF(AND(K102&lt;&gt;"",L102&lt;&gt;"",O102&lt;&gt;""),"Pełny",IF(OR(K102&lt;&gt;"",L102&lt;&gt;""),"Częściowy","Brak bezpośredniego kontaktu"))</x:f>
        <x:v>Częściowy</x:v>
      </x:c>
      <x:c r="U102" s="62" t="str">
        <x:v>Nowy</x:v>
      </x:c>
      <x:c r="V102" s="62" t="str">
        <x:v>BILLS — hurt@bills.pl</x:v>
      </x:c>
      <x:c r="W102" s="62" t="str">
        <x:v>Dodać do kampanii regionalnej i wykonać follow-up telefoniczny</x:v>
      </x:c>
      <x:c r="X102" s="81" t="n">
        <x:f>IF(C102&gt;=82,'Model scoringu'!$B$4,IF(C102&gt;=72,'Model scoringu'!$B$5,IF(C102&gt;=58,'Model scoringu'!$B$6,"")))</x:f>
        <x:v>46234</x:v>
      </x:c>
      <x:c r="Y102" s="62" t="str">
        <x:v>Sprzedaż komplementarnych akcesoriów dla palaczy.</x:v>
      </x:c>
      <x:c r="Z102" s="62" t="str">
        <x:v>https://jukaakcesoria.pl</x:v>
      </x:c>
      <x:c r="AA102" s="62" t="str">
        <x:v>Status źródłowy: Niezweryfikowany</x:v>
      </x:c>
      <x:c r="AB102" s="50" t="n">
        <x:v>18</x:v>
      </x:c>
      <x:c r="AC102" s="50" t="n">
        <x:v>15</x:v>
      </x:c>
      <x:c r="AD102" s="50" t="n">
        <x:v>7</x:v>
      </x:c>
      <x:c r="AE102" s="50" t="n">
        <x:v>9</x:v>
      </x:c>
      <x:c r="AF102" s="50" t="n">
        <x:v>10</x:v>
      </x:c>
      <x:c r="AG102" s="50" t="n">
        <x:v>10</x:v>
      </x:c>
      <x:c r="AH102" s="57" t="n">
        <x:v>0</x:v>
      </x:c>
    </x:row>
    <x:row r="103" ht="34" customHeight="1">
      <x:c r="A103" s="87" t="n">
        <x:v>101</x:v>
      </x:c>
      <x:c r="B103" s="88" t="str">
        <x:f>IF(C103&gt;=82,"A"&amp;1&amp;" — kontakt natychmiast",IF(C103&gt;=72,"A"&amp;2&amp;" — kontakt w 7 dni",IF(C103&gt;=58,"B — kampania regionalna",IF(C103&gt;=42,"C — weryfikacja i nurturing","D — niski priorytet/wykluczyć"))))</x:f>
        <x:v>B — kampania regionalna</x:v>
      </x:c>
      <x:c r="C103" s="88" t="n">
        <x:f>MAX(0,MIN(100,SUM(AB103:AG103)-AH103))</x:f>
        <x:v>69</x:v>
      </x:c>
      <x:c r="D103" s="62" t="str">
        <x:v>Hurtownia Papiernicza GRAFIT</x:v>
      </x:c>
      <x:c r="E103" s="62" t="str">
        <x:v>Potencjalny reseller / odbiorca hurtowy</x:v>
      </x:c>
      <x:c r="F103" s="62" t="str">
        <x:v>S3 — Akcesoria dla palaczy/headshop</x:v>
      </x:c>
      <x:c r="G103" s="62" t="str">
        <x:v>Hurt B2B + detal</x:v>
      </x:c>
      <x:c r="H103" s="62" t="str">
        <x:v>Kujawsko-pomorskie</x:v>
      </x:c>
      <x:c r="I103" s="62" t="str">
        <x:v>Inowrocław</x:v>
      </x:c>
      <x:c r="J103" s="62" t="str">
        <x:v>Nieustalona</x:v>
      </x:c>
      <x:c r="K103" s="62" t="str"/>
      <x:c r="L103" s="62" t="str">
        <x:v>+48 52 391 24 17</x:v>
      </x:c>
      <x:c r="M103" s="62" t="str"/>
      <x:c r="N103" s="62" t="str"/>
      <x:c r="O103" s="62" t="str">
        <x:v>http://hpgrafit.pl</x:v>
      </x:c>
      <x:c r="P103" s="62" t="str">
        <x:v>Poznańska 223, 88-100 Inowrocław, Polska</x:v>
      </x:c>
      <x:c r="Q103" s="62" t="str"/>
      <x:c r="R103" s="62" t="str"/>
      <x:c r="S103" s="62" t="str">
        <x:v>Akcesoria Tytoniowe | Tytoń | Hurt | Sklep Tytoniowy</x:v>
      </x:c>
      <x:c r="T103" s="62" t="str">
        <x:f>IF(AND(K103&lt;&gt;"",L103&lt;&gt;"",O103&lt;&gt;""),"Pełny",IF(OR(K103&lt;&gt;"",L103&lt;&gt;""),"Częściowy","Brak bezpośredniego kontaktu"))</x:f>
        <x:v>Częściowy</x:v>
      </x:c>
      <x:c r="U103" s="62" t="str">
        <x:v>Nowy</x:v>
      </x:c>
      <x:c r="V103" s="62" t="str">
        <x:v>BILLS — hurt@bills.pl</x:v>
      </x:c>
      <x:c r="W103" s="62" t="str">
        <x:v>Dodać do kampanii regionalnej i wykonać follow-up telefoniczny</x:v>
      </x:c>
      <x:c r="X103" s="81" t="n">
        <x:f>IF(C103&gt;=82,'Model scoringu'!$B$4,IF(C103&gt;=72,'Model scoringu'!$B$5,IF(C103&gt;=58,'Model scoringu'!$B$6,"")))</x:f>
        <x:v>46234</x:v>
      </x:c>
      <x:c r="Y103" s="62" t="str">
        <x:v>Sprzedaż komplementarnych akcesoriów dla palaczy.</x:v>
      </x:c>
      <x:c r="Z103" s="62" t="str">
        <x:v>http://hpgrafit.pl</x:v>
      </x:c>
      <x:c r="AA103" s="62" t="str">
        <x:v>Status źródłowy: Niezweryfikowany</x:v>
      </x:c>
      <x:c r="AB103" s="50" t="n">
        <x:v>18</x:v>
      </x:c>
      <x:c r="AC103" s="50" t="n">
        <x:v>15</x:v>
      </x:c>
      <x:c r="AD103" s="50" t="n">
        <x:v>7</x:v>
      </x:c>
      <x:c r="AE103" s="50" t="n">
        <x:v>9</x:v>
      </x:c>
      <x:c r="AF103" s="50" t="n">
        <x:v>10</x:v>
      </x:c>
      <x:c r="AG103" s="50" t="n">
        <x:v>10</x:v>
      </x:c>
      <x:c r="AH103" s="57" t="n">
        <x:v>0</x:v>
      </x:c>
    </x:row>
    <x:row r="104" ht="34" customHeight="1">
      <x:c r="A104" s="87" t="n">
        <x:v>102</x:v>
      </x:c>
      <x:c r="B104" s="88" t="str">
        <x:f>IF(C104&gt;=82,"A"&amp;1&amp;" — kontakt natychmiast",IF(C104&gt;=72,"A"&amp;2&amp;" — kontakt w 7 dni",IF(C104&gt;=58,"B — kampania regionalna",IF(C104&gt;=42,"C — weryfikacja i nurturing","D — niski priorytet/wykluczyć"))))</x:f>
        <x:v>B — kampania regionalna</x:v>
      </x:c>
      <x:c r="C104" s="88" t="n">
        <x:f>MAX(0,MIN(100,SUM(AB104:AG104)-AH104))</x:f>
        <x:v>69</x:v>
      </x:c>
      <x:c r="D104" s="62" t="str">
        <x:v>Hurtownia Centrum Wiesław Sacharski</x:v>
      </x:c>
      <x:c r="E104" s="62" t="str">
        <x:v>Potencjalny reseller / odbiorca hurtowy</x:v>
      </x:c>
      <x:c r="F104" s="62" t="str">
        <x:v>S3 — Akcesoria dla palaczy/headshop</x:v>
      </x:c>
      <x:c r="G104" s="62" t="str">
        <x:v>Hurt B2B + detal</x:v>
      </x:c>
      <x:c r="H104" s="62" t="str">
        <x:v>Mazowieckie</x:v>
      </x:c>
      <x:c r="I104" s="62" t="str">
        <x:v>Ostrołęka</x:v>
      </x:c>
      <x:c r="J104" s="62" t="str">
        <x:v>Nieustalona</x:v>
      </x:c>
      <x:c r="K104" s="62" t="str"/>
      <x:c r="L104" s="62" t="str">
        <x:v>+48 29 766 42 22</x:v>
      </x:c>
      <x:c r="M104" s="62" t="str"/>
      <x:c r="N104" s="62" t="str"/>
      <x:c r="O104" s="62" t="str">
        <x:v>https://centrum-ws.pl</x:v>
      </x:c>
      <x:c r="P104" s="62" t="str">
        <x:v>Targowa 39G, 07-410 Ostrołęka, Polska</x:v>
      </x:c>
      <x:c r="Q104" s="62" t="str"/>
      <x:c r="R104" s="62" t="str"/>
      <x:c r="S104" s="62" t="str">
        <x:v>Akcesoria Tytoniowe | Tytoń | Hurt | Sklep Tytoniowy</x:v>
      </x:c>
      <x:c r="T104" s="62" t="str">
        <x:f>IF(AND(K104&lt;&gt;"",L104&lt;&gt;"",O104&lt;&gt;""),"Pełny",IF(OR(K104&lt;&gt;"",L104&lt;&gt;""),"Częściowy","Brak bezpośredniego kontaktu"))</x:f>
        <x:v>Częściowy</x:v>
      </x:c>
      <x:c r="U104" s="62" t="str">
        <x:v>Nowy</x:v>
      </x:c>
      <x:c r="V104" s="62" t="str">
        <x:v>BILLS — hurt@bills.pl</x:v>
      </x:c>
      <x:c r="W104" s="62" t="str">
        <x:v>Dodać do kampanii regionalnej i wykonać follow-up telefoniczny</x:v>
      </x:c>
      <x:c r="X104" s="81" t="n">
        <x:f>IF(C104&gt;=82,'Model scoringu'!$B$4,IF(C104&gt;=72,'Model scoringu'!$B$5,IF(C104&gt;=58,'Model scoringu'!$B$6,"")))</x:f>
        <x:v>46234</x:v>
      </x:c>
      <x:c r="Y104" s="62" t="str">
        <x:v>Sprzedaż komplementarnych akcesoriów dla palaczy.</x:v>
      </x:c>
      <x:c r="Z104" s="62" t="str">
        <x:v>https://centrum-ws.pl</x:v>
      </x:c>
      <x:c r="AA104" s="62" t="str">
        <x:v>Status źródłowy: Niezweryfikowany</x:v>
      </x:c>
      <x:c r="AB104" s="50" t="n">
        <x:v>18</x:v>
      </x:c>
      <x:c r="AC104" s="50" t="n">
        <x:v>15</x:v>
      </x:c>
      <x:c r="AD104" s="50" t="n">
        <x:v>7</x:v>
      </x:c>
      <x:c r="AE104" s="50" t="n">
        <x:v>9</x:v>
      </x:c>
      <x:c r="AF104" s="50" t="n">
        <x:v>10</x:v>
      </x:c>
      <x:c r="AG104" s="50" t="n">
        <x:v>10</x:v>
      </x:c>
      <x:c r="AH104" s="57" t="n">
        <x:v>0</x:v>
      </x:c>
    </x:row>
    <x:row r="105" ht="34" customHeight="1">
      <x:c r="A105" s="87" t="n">
        <x:v>103</x:v>
      </x:c>
      <x:c r="B105" s="88" t="str">
        <x:f>IF(C105&gt;=82,"A"&amp;1&amp;" — kontakt natychmiast",IF(C105&gt;=72,"A"&amp;2&amp;" — kontakt w 7 dni",IF(C105&gt;=58,"B — kampania regionalna",IF(C105&gt;=42,"C — weryfikacja i nurturing","D — niski priorytet/wykluczyć"))))</x:f>
        <x:v>B — kampania regionalna</x:v>
      </x:c>
      <x:c r="C105" s="88" t="n">
        <x:f>MAX(0,MIN(100,SUM(AB105:AG105)-AH105))</x:f>
        <x:v>69</x:v>
      </x:c>
      <x:c r="D105" s="62" t="str">
        <x:v>Hero Sp. z o.o. PW. Hurtownia nabiałowo - spożywcza</x:v>
      </x:c>
      <x:c r="E105" s="62" t="str">
        <x:v>Potencjalny reseller / odbiorca hurtowy</x:v>
      </x:c>
      <x:c r="F105" s="62" t="str">
        <x:v>S3 — Akcesoria dla palaczy/headshop</x:v>
      </x:c>
      <x:c r="G105" s="62" t="str">
        <x:v>Hurt B2B + detal</x:v>
      </x:c>
      <x:c r="H105" s="62" t="str">
        <x:v>Kujawsko-pomorskie</x:v>
      </x:c>
      <x:c r="I105" s="62" t="str">
        <x:v>Nakło Nad Notecią</x:v>
      </x:c>
      <x:c r="J105" s="62" t="str">
        <x:v>Nieustalona</x:v>
      </x:c>
      <x:c r="K105" s="62" t="str"/>
      <x:c r="L105" s="62" t="str">
        <x:v>+48 52 385 42 04</x:v>
      </x:c>
      <x:c r="M105" s="62" t="str"/>
      <x:c r="N105" s="62" t="str"/>
      <x:c r="O105" s="62" t="str">
        <x:v>http://www.hurtowniahero.pl</x:v>
      </x:c>
      <x:c r="P105" s="62" t="str">
        <x:v>Przecznica 1, 89-100 Nakło nad Notecią, Polska</x:v>
      </x:c>
      <x:c r="Q105" s="62" t="str"/>
      <x:c r="R105" s="62" t="str"/>
      <x:c r="S105" s="62" t="str">
        <x:v>Akcesoria Tytoniowe | Tytoń | Hurt | Sklep Tytoniowy</x:v>
      </x:c>
      <x:c r="T105" s="62" t="str">
        <x:f>IF(AND(K105&lt;&gt;"",L105&lt;&gt;"",O105&lt;&gt;""),"Pełny",IF(OR(K105&lt;&gt;"",L105&lt;&gt;""),"Częściowy","Brak bezpośredniego kontaktu"))</x:f>
        <x:v>Częściowy</x:v>
      </x:c>
      <x:c r="U105" s="62" t="str">
        <x:v>Nowy</x:v>
      </x:c>
      <x:c r="V105" s="62" t="str">
        <x:v>BILLS — hurt@bills.pl</x:v>
      </x:c>
      <x:c r="W105" s="62" t="str">
        <x:v>Dodać do kampanii regionalnej i wykonać follow-up telefoniczny</x:v>
      </x:c>
      <x:c r="X105" s="81" t="n">
        <x:f>IF(C105&gt;=82,'Model scoringu'!$B$4,IF(C105&gt;=72,'Model scoringu'!$B$5,IF(C105&gt;=58,'Model scoringu'!$B$6,"")))</x:f>
        <x:v>46234</x:v>
      </x:c>
      <x:c r="Y105" s="62" t="str">
        <x:v>Sprzedaż komplementarnych akcesoriów dla palaczy.</x:v>
      </x:c>
      <x:c r="Z105" s="62" t="str">
        <x:v>http://www.hurtowniahero.pl</x:v>
      </x:c>
      <x:c r="AA105" s="62" t="str">
        <x:v>Status źródłowy: Niezweryfikowany</x:v>
      </x:c>
      <x:c r="AB105" s="50" t="n">
        <x:v>18</x:v>
      </x:c>
      <x:c r="AC105" s="50" t="n">
        <x:v>15</x:v>
      </x:c>
      <x:c r="AD105" s="50" t="n">
        <x:v>7</x:v>
      </x:c>
      <x:c r="AE105" s="50" t="n">
        <x:v>9</x:v>
      </x:c>
      <x:c r="AF105" s="50" t="n">
        <x:v>10</x:v>
      </x:c>
      <x:c r="AG105" s="50" t="n">
        <x:v>10</x:v>
      </x:c>
      <x:c r="AH105" s="57" t="n">
        <x:v>0</x:v>
      </x:c>
    </x:row>
    <x:row r="106" ht="34" customHeight="1">
      <x:c r="A106" s="87" t="n">
        <x:v>104</x:v>
      </x:c>
      <x:c r="B106" s="88" t="str">
        <x:f>IF(C106&gt;=82,"A"&amp;1&amp;" — kontakt natychmiast",IF(C106&gt;=72,"A"&amp;2&amp;" — kontakt w 7 dni",IF(C106&gt;=58,"B — kampania regionalna",IF(C106&gt;=42,"C — weryfikacja i nurturing","D — niski priorytet/wykluczyć"))))</x:f>
        <x:v>B — kampania regionalna</x:v>
      </x:c>
      <x:c r="C106" s="88" t="n">
        <x:f>MAX(0,MIN(100,SUM(AB106:AG106)-AH106))</x:f>
        <x:v>69</x:v>
      </x:c>
      <x:c r="D106" s="62" t="str">
        <x:v>Frega Hurtownia Papierosów Oddział Tarnów</x:v>
      </x:c>
      <x:c r="E106" s="62" t="str">
        <x:v>Potencjalny reseller / odbiorca hurtowy</x:v>
      </x:c>
      <x:c r="F106" s="62" t="str">
        <x:v>S3 — Akcesoria dla palaczy/headshop</x:v>
      </x:c>
      <x:c r="G106" s="62" t="str">
        <x:v>Hurt B2B + detal</x:v>
      </x:c>
      <x:c r="H106" s="62" t="str">
        <x:v>Małopolskie</x:v>
      </x:c>
      <x:c r="I106" s="62" t="str">
        <x:v>Tarnów</x:v>
      </x:c>
      <x:c r="J106" s="62" t="str">
        <x:v>Nieustalona</x:v>
      </x:c>
      <x:c r="K106" s="62" t="str"/>
      <x:c r="L106" s="62" t="str">
        <x:v>+48 14 626 87 17</x:v>
      </x:c>
      <x:c r="M106" s="62" t="str"/>
      <x:c r="N106" s="62" t="str"/>
      <x:c r="O106" s="62" t="str">
        <x:v>http://frega.com.pl</x:v>
      </x:c>
      <x:c r="P106" s="62" t="str">
        <x:v>Czerwona 54A, 33-100 Tarnów, Polska</x:v>
      </x:c>
      <x:c r="Q106" s="62" t="str"/>
      <x:c r="R106" s="62" t="str"/>
      <x:c r="S106" s="62" t="str">
        <x:v>Akcesoria Tytoniowe | Tytoń | Hurt | Sklep Tytoniowy</x:v>
      </x:c>
      <x:c r="T106" s="62" t="str">
        <x:f>IF(AND(K106&lt;&gt;"",L106&lt;&gt;"",O106&lt;&gt;""),"Pełny",IF(OR(K106&lt;&gt;"",L106&lt;&gt;""),"Częściowy","Brak bezpośredniego kontaktu"))</x:f>
        <x:v>Częściowy</x:v>
      </x:c>
      <x:c r="U106" s="62" t="str">
        <x:v>Nowy</x:v>
      </x:c>
      <x:c r="V106" s="62" t="str">
        <x:v>BILLS — hurt@bills.pl</x:v>
      </x:c>
      <x:c r="W106" s="62" t="str">
        <x:v>Dodać do kampanii regionalnej i wykonać follow-up telefoniczny</x:v>
      </x:c>
      <x:c r="X106" s="81" t="n">
        <x:f>IF(C106&gt;=82,'Model scoringu'!$B$4,IF(C106&gt;=72,'Model scoringu'!$B$5,IF(C106&gt;=58,'Model scoringu'!$B$6,"")))</x:f>
        <x:v>46234</x:v>
      </x:c>
      <x:c r="Y106" s="62" t="str">
        <x:v>Sprzedaż komplementarnych akcesoriów dla palaczy.</x:v>
      </x:c>
      <x:c r="Z106" s="62" t="str">
        <x:v>http://frega.com.pl</x:v>
      </x:c>
      <x:c r="AA106" s="62" t="str">
        <x:v>Status źródłowy: Niezweryfikowany</x:v>
      </x:c>
      <x:c r="AB106" s="50" t="n">
        <x:v>18</x:v>
      </x:c>
      <x:c r="AC106" s="50" t="n">
        <x:v>15</x:v>
      </x:c>
      <x:c r="AD106" s="50" t="n">
        <x:v>7</x:v>
      </x:c>
      <x:c r="AE106" s="50" t="n">
        <x:v>9</x:v>
      </x:c>
      <x:c r="AF106" s="50" t="n">
        <x:v>10</x:v>
      </x:c>
      <x:c r="AG106" s="50" t="n">
        <x:v>10</x:v>
      </x:c>
      <x:c r="AH106" s="57" t="n">
        <x:v>0</x:v>
      </x:c>
    </x:row>
    <x:row r="107" ht="34" customHeight="1">
      <x:c r="A107" s="87" t="n">
        <x:v>105</x:v>
      </x:c>
      <x:c r="B107" s="88" t="str">
        <x:f>IF(C107&gt;=82,"A"&amp;1&amp;" — kontakt natychmiast",IF(C107&gt;=72,"A"&amp;2&amp;" — kontakt w 7 dni",IF(C107&gt;=58,"B — kampania regionalna",IF(C107&gt;=42,"C — weryfikacja i nurturing","D — niski priorytet/wykluczyć"))))</x:f>
        <x:v>B — kampania regionalna</x:v>
      </x:c>
      <x:c r="C107" s="88" t="n">
        <x:f>MAX(0,MIN(100,SUM(AB107:AG107)-AH107))</x:f>
        <x:v>69</x:v>
      </x:c>
      <x:c r="D107" s="62" t="str">
        <x:v>Firma Handlowa Mariusz Kawa</x:v>
      </x:c>
      <x:c r="E107" s="62" t="str">
        <x:v>Potencjalny reseller / odbiorca hurtowy</x:v>
      </x:c>
      <x:c r="F107" s="62" t="str">
        <x:v>S3 — Akcesoria dla palaczy/headshop</x:v>
      </x:c>
      <x:c r="G107" s="62" t="str">
        <x:v>Hurt B2B + detal</x:v>
      </x:c>
      <x:c r="H107" s="62" t="str">
        <x:v>Małopolskie</x:v>
      </x:c>
      <x:c r="I107" s="62" t="str">
        <x:v>Tarnów</x:v>
      </x:c>
      <x:c r="J107" s="62" t="str">
        <x:v>Nieustalona</x:v>
      </x:c>
      <x:c r="K107" s="62" t="str"/>
      <x:c r="L107" s="62" t="str">
        <x:v>+48 14 629 52 52</x:v>
      </x:c>
      <x:c r="M107" s="62" t="str"/>
      <x:c r="N107" s="62" t="str"/>
      <x:c r="O107" s="62" t="str">
        <x:v>http://www.squashtarnow.pl</x:v>
      </x:c>
      <x:c r="P107" s="62" t="str">
        <x:v>Spokojna 20C, 33-100 Tarnów, Polska</x:v>
      </x:c>
      <x:c r="Q107" s="62" t="str"/>
      <x:c r="R107" s="62" t="str"/>
      <x:c r="S107" s="62" t="str">
        <x:v>Akcesoria Tytoniowe | Tytoń | Hurt | Sklep Tytoniowy</x:v>
      </x:c>
      <x:c r="T107" s="62" t="str">
        <x:f>IF(AND(K107&lt;&gt;"",L107&lt;&gt;"",O107&lt;&gt;""),"Pełny",IF(OR(K107&lt;&gt;"",L107&lt;&gt;""),"Częściowy","Brak bezpośredniego kontaktu"))</x:f>
        <x:v>Częściowy</x:v>
      </x:c>
      <x:c r="U107" s="62" t="str">
        <x:v>Nowy</x:v>
      </x:c>
      <x:c r="V107" s="62" t="str">
        <x:v>BILLS — hurt@bills.pl</x:v>
      </x:c>
      <x:c r="W107" s="62" t="str">
        <x:v>Dodać do kampanii regionalnej i wykonać follow-up telefoniczny</x:v>
      </x:c>
      <x:c r="X107" s="81" t="n">
        <x:f>IF(C107&gt;=82,'Model scoringu'!$B$4,IF(C107&gt;=72,'Model scoringu'!$B$5,IF(C107&gt;=58,'Model scoringu'!$B$6,"")))</x:f>
        <x:v>46234</x:v>
      </x:c>
      <x:c r="Y107" s="62" t="str">
        <x:v>Sprzedaż komplementarnych akcesoriów dla palaczy.</x:v>
      </x:c>
      <x:c r="Z107" s="62" t="str">
        <x:v>http://www.squashtarnow.pl</x:v>
      </x:c>
      <x:c r="AA107" s="62" t="str">
        <x:v>Status źródłowy: Niezweryfikowany</x:v>
      </x:c>
      <x:c r="AB107" s="50" t="n">
        <x:v>18</x:v>
      </x:c>
      <x:c r="AC107" s="50" t="n">
        <x:v>15</x:v>
      </x:c>
      <x:c r="AD107" s="50" t="n">
        <x:v>7</x:v>
      </x:c>
      <x:c r="AE107" s="50" t="n">
        <x:v>9</x:v>
      </x:c>
      <x:c r="AF107" s="50" t="n">
        <x:v>10</x:v>
      </x:c>
      <x:c r="AG107" s="50" t="n">
        <x:v>10</x:v>
      </x:c>
      <x:c r="AH107" s="57" t="n">
        <x:v>0</x:v>
      </x:c>
    </x:row>
    <x:row r="108" ht="34" customHeight="1">
      <x:c r="A108" s="87" t="n">
        <x:v>106</x:v>
      </x:c>
      <x:c r="B108" s="88" t="str">
        <x:f>IF(C108&gt;=82,"A"&amp;1&amp;" — kontakt natychmiast",IF(C108&gt;=72,"A"&amp;2&amp;" — kontakt w 7 dni",IF(C108&gt;=58,"B — kampania regionalna",IF(C108&gt;=42,"C — weryfikacja i nurturing","D — niski priorytet/wykluczyć"))))</x:f>
        <x:v>B — kampania regionalna</x:v>
      </x:c>
      <x:c r="C108" s="88" t="n">
        <x:f>MAX(0,MIN(100,SUM(AB108:AG108)-AH108))</x:f>
        <x:v>69</x:v>
      </x:c>
      <x:c r="D108" s="62" t="str">
        <x:v>FLAJ | Sklep i Hurtownia w Augustowie</x:v>
      </x:c>
      <x:c r="E108" s="62" t="str">
        <x:v>Potencjalny reseller / odbiorca hurtowy</x:v>
      </x:c>
      <x:c r="F108" s="62" t="str">
        <x:v>S3 — Akcesoria dla palaczy/headshop</x:v>
      </x:c>
      <x:c r="G108" s="62" t="str">
        <x:v>Hurt B2B + detal</x:v>
      </x:c>
      <x:c r="H108" s="62" t="str">
        <x:v>Podlaskie</x:v>
      </x:c>
      <x:c r="I108" s="62" t="str">
        <x:v>Augustów</x:v>
      </x:c>
      <x:c r="J108" s="62" t="str">
        <x:v>Nieustalona</x:v>
      </x:c>
      <x:c r="K108" s="62" t="str"/>
      <x:c r="L108" s="62" t="str">
        <x:v>+48 87 644 53 58</x:v>
      </x:c>
      <x:c r="M108" s="62" t="str"/>
      <x:c r="N108" s="62" t="str"/>
      <x:c r="O108" s="62" t="str">
        <x:v>https://flaj.com.pl</x:v>
      </x:c>
      <x:c r="P108" s="62" t="str">
        <x:v>Tytoniowa 7, 16-300 Augustów, Polska</x:v>
      </x:c>
      <x:c r="Q108" s="62" t="str"/>
      <x:c r="R108" s="62" t="str"/>
      <x:c r="S108" s="62" t="str">
        <x:v>Akcesoria Tytoniowe | Tytoń | Hurt | Sklep Tytoniowy</x:v>
      </x:c>
      <x:c r="T108" s="62" t="str">
        <x:f>IF(AND(K108&lt;&gt;"",L108&lt;&gt;"",O108&lt;&gt;""),"Pełny",IF(OR(K108&lt;&gt;"",L108&lt;&gt;""),"Częściowy","Brak bezpośredniego kontaktu"))</x:f>
        <x:v>Częściowy</x:v>
      </x:c>
      <x:c r="U108" s="62" t="str">
        <x:v>Nowy</x:v>
      </x:c>
      <x:c r="V108" s="62" t="str">
        <x:v>BILLS — hurt@bills.pl</x:v>
      </x:c>
      <x:c r="W108" s="62" t="str">
        <x:v>Dodać do kampanii regionalnej i wykonać follow-up telefoniczny</x:v>
      </x:c>
      <x:c r="X108" s="81" t="n">
        <x:f>IF(C108&gt;=82,'Model scoringu'!$B$4,IF(C108&gt;=72,'Model scoringu'!$B$5,IF(C108&gt;=58,'Model scoringu'!$B$6,"")))</x:f>
        <x:v>46234</x:v>
      </x:c>
      <x:c r="Y108" s="62" t="str">
        <x:v>Sprzedaż komplementarnych akcesoriów dla palaczy.</x:v>
      </x:c>
      <x:c r="Z108" s="62" t="str">
        <x:v>https://flaj.com.pl</x:v>
      </x:c>
      <x:c r="AA108" s="62" t="str">
        <x:v>Status źródłowy: Niezweryfikowany</x:v>
      </x:c>
      <x:c r="AB108" s="50" t="n">
        <x:v>18</x:v>
      </x:c>
      <x:c r="AC108" s="50" t="n">
        <x:v>15</x:v>
      </x:c>
      <x:c r="AD108" s="50" t="n">
        <x:v>7</x:v>
      </x:c>
      <x:c r="AE108" s="50" t="n">
        <x:v>9</x:v>
      </x:c>
      <x:c r="AF108" s="50" t="n">
        <x:v>10</x:v>
      </x:c>
      <x:c r="AG108" s="50" t="n">
        <x:v>10</x:v>
      </x:c>
      <x:c r="AH108" s="57" t="n">
        <x:v>0</x:v>
      </x:c>
    </x:row>
    <x:row r="109" ht="34" customHeight="1">
      <x:c r="A109" s="87" t="n">
        <x:v>107</x:v>
      </x:c>
      <x:c r="B109" s="88" t="str">
        <x:f>IF(C109&gt;=82,"A"&amp;1&amp;" — kontakt natychmiast",IF(C109&gt;=72,"A"&amp;2&amp;" — kontakt w 7 dni",IF(C109&gt;=58,"B — kampania regionalna",IF(C109&gt;=42,"C — weryfikacja i nurturing","D — niski priorytet/wykluczyć"))))</x:f>
        <x:v>B — kampania regionalna</x:v>
      </x:c>
      <x:c r="C109" s="88" t="n">
        <x:f>MAX(0,MIN(100,SUM(AB109:AG109)-AH109))</x:f>
        <x:v>69</x:v>
      </x:c>
      <x:c r="D109" s="62" t="str">
        <x:v>Eurocash Cash &amp; Carry Wągrowiec - Hurtownia spożywcza</x:v>
      </x:c>
      <x:c r="E109" s="62" t="str">
        <x:v>Potencjalny reseller / odbiorca hurtowy</x:v>
      </x:c>
      <x:c r="F109" s="62" t="str">
        <x:v>S3 — Akcesoria dla palaczy/headshop</x:v>
      </x:c>
      <x:c r="G109" s="62" t="str">
        <x:v>Hurt B2B + detal</x:v>
      </x:c>
      <x:c r="H109" s="62" t="str">
        <x:v>Opolskie</x:v>
      </x:c>
      <x:c r="I109" s="62" t="str">
        <x:v>Wągrowiec</x:v>
      </x:c>
      <x:c r="J109" s="62" t="str">
        <x:v>Nieustalona</x:v>
      </x:c>
      <x:c r="K109" s="62" t="str"/>
      <x:c r="L109" s="62" t="str">
        <x:v>+48 67 268 52 12</x:v>
      </x:c>
      <x:c r="M109" s="62" t="str"/>
      <x:c r="N109" s="62" t="str"/>
      <x:c r="O109" s="62" t="str">
        <x:v>https://hurtownie.eurocash.pl/kontakt/mapa-hurtowni/hurtownie.html?provinceId=8&amp;cityId=112</x:v>
      </x:c>
      <x:c r="P109" s="62" t="str">
        <x:v>Gnieźnieńska 72, 62-100 Wągrowiec, Polska</x:v>
      </x:c>
      <x:c r="Q109" s="62" t="str"/>
      <x:c r="R109" s="62" t="str"/>
      <x:c r="S109" s="62" t="str">
        <x:v>Akcesoria Tytoniowe | Tytoń | Hurt | Sklep Tytoniowy</x:v>
      </x:c>
      <x:c r="T109" s="62" t="str">
        <x:f>IF(AND(K109&lt;&gt;"",L109&lt;&gt;"",O109&lt;&gt;""),"Pełny",IF(OR(K109&lt;&gt;"",L109&lt;&gt;""),"Częściowy","Brak bezpośredniego kontaktu"))</x:f>
        <x:v>Częściowy</x:v>
      </x:c>
      <x:c r="U109" s="62" t="str">
        <x:v>Nowy</x:v>
      </x:c>
      <x:c r="V109" s="62" t="str">
        <x:v>BILLS — hurt@bills.pl</x:v>
      </x:c>
      <x:c r="W109" s="62" t="str">
        <x:v>Dodać do kampanii regionalnej i wykonać follow-up telefoniczny</x:v>
      </x:c>
      <x:c r="X109" s="81" t="n">
        <x:f>IF(C109&gt;=82,'Model scoringu'!$B$4,IF(C109&gt;=72,'Model scoringu'!$B$5,IF(C109&gt;=58,'Model scoringu'!$B$6,"")))</x:f>
        <x:v>46234</x:v>
      </x:c>
      <x:c r="Y109" s="62" t="str">
        <x:v>Sprzedaż komplementarnych akcesoriów dla palaczy.</x:v>
      </x:c>
      <x:c r="Z109" s="62" t="str">
        <x:v>https://hurtownie.eurocash.pl/kontakt/mapa-hurtowni/hurtownie.html?provinceId=8&amp;cityId=112</x:v>
      </x:c>
      <x:c r="AA109" s="62" t="str">
        <x:v>Status źródłowy: Niezweryfikowany</x:v>
      </x:c>
      <x:c r="AB109" s="50" t="n">
        <x:v>18</x:v>
      </x:c>
      <x:c r="AC109" s="50" t="n">
        <x:v>15</x:v>
      </x:c>
      <x:c r="AD109" s="50" t="n">
        <x:v>7</x:v>
      </x:c>
      <x:c r="AE109" s="50" t="n">
        <x:v>9</x:v>
      </x:c>
      <x:c r="AF109" s="50" t="n">
        <x:v>10</x:v>
      </x:c>
      <x:c r="AG109" s="50" t="n">
        <x:v>10</x:v>
      </x:c>
      <x:c r="AH109" s="57" t="n">
        <x:v>0</x:v>
      </x:c>
    </x:row>
    <x:row r="110" ht="34" customHeight="1">
      <x:c r="A110" s="87" t="n">
        <x:v>108</x:v>
      </x:c>
      <x:c r="B110" s="88" t="str">
        <x:f>IF(C110&gt;=82,"A"&amp;1&amp;" — kontakt natychmiast",IF(C110&gt;=72,"A"&amp;2&amp;" — kontakt w 7 dni",IF(C110&gt;=58,"B — kampania regionalna",IF(C110&gt;=42,"C — weryfikacja i nurturing","D — niski priorytet/wykluczyć"))))</x:f>
        <x:v>B — kampania regionalna</x:v>
      </x:c>
      <x:c r="C110" s="88" t="n">
        <x:f>MAX(0,MIN(100,SUM(AB110:AG110)-AH110))</x:f>
        <x:v>69</x:v>
      </x:c>
      <x:c r="D110" s="62" t="str">
        <x:v>Elroy sp.j. Biuro handlowe</x:v>
      </x:c>
      <x:c r="E110" s="62" t="str">
        <x:v>Potencjalny reseller / odbiorca hurtowy</x:v>
      </x:c>
      <x:c r="F110" s="62" t="str">
        <x:v>S3 — Akcesoria dla palaczy/headshop</x:v>
      </x:c>
      <x:c r="G110" s="62" t="str">
        <x:v>Hurt B2B + detal</x:v>
      </x:c>
      <x:c r="H110" s="62" t="str">
        <x:v>Kujawsko-pomorskie</x:v>
      </x:c>
      <x:c r="I110" s="62" t="str">
        <x:v>Włocławek</x:v>
      </x:c>
      <x:c r="J110" s="62" t="str">
        <x:v>Nieustalona</x:v>
      </x:c>
      <x:c r="K110" s="62" t="str"/>
      <x:c r="L110" s="62" t="str">
        <x:v>+48 54 231 17 10</x:v>
      </x:c>
      <x:c r="M110" s="62" t="str"/>
      <x:c r="N110" s="62" t="str"/>
      <x:c r="O110" s="62" t="str">
        <x:v>http://www.elroy.pl</x:v>
      </x:c>
      <x:c r="P110" s="62" t="str">
        <x:v>Wojska Polskiego 18A, 87-810 Włocławek, Polska</x:v>
      </x:c>
      <x:c r="Q110" s="62" t="str"/>
      <x:c r="R110" s="62" t="str"/>
      <x:c r="S110" s="62" t="str">
        <x:v>Akcesoria Tytoniowe | Tytoń | Hurt | Sklep Tytoniowy</x:v>
      </x:c>
      <x:c r="T110" s="62" t="str">
        <x:f>IF(AND(K110&lt;&gt;"",L110&lt;&gt;"",O110&lt;&gt;""),"Pełny",IF(OR(K110&lt;&gt;"",L110&lt;&gt;""),"Częściowy","Brak bezpośredniego kontaktu"))</x:f>
        <x:v>Częściowy</x:v>
      </x:c>
      <x:c r="U110" s="62" t="str">
        <x:v>Nowy</x:v>
      </x:c>
      <x:c r="V110" s="62" t="str">
        <x:v>BILLS — hurt@bills.pl</x:v>
      </x:c>
      <x:c r="W110" s="62" t="str">
        <x:v>Dodać do kampanii regionalnej i wykonać follow-up telefoniczny</x:v>
      </x:c>
      <x:c r="X110" s="81" t="n">
        <x:f>IF(C110&gt;=82,'Model scoringu'!$B$4,IF(C110&gt;=72,'Model scoringu'!$B$5,IF(C110&gt;=58,'Model scoringu'!$B$6,"")))</x:f>
        <x:v>46234</x:v>
      </x:c>
      <x:c r="Y110" s="62" t="str">
        <x:v>Sprzedaż komplementarnych akcesoriów dla palaczy.</x:v>
      </x:c>
      <x:c r="Z110" s="62" t="str">
        <x:v>http://www.elroy.pl</x:v>
      </x:c>
      <x:c r="AA110" s="62" t="str">
        <x:v>Status źródłowy: Niezweryfikowany</x:v>
      </x:c>
      <x:c r="AB110" s="50" t="n">
        <x:v>18</x:v>
      </x:c>
      <x:c r="AC110" s="50" t="n">
        <x:v>15</x:v>
      </x:c>
      <x:c r="AD110" s="50" t="n">
        <x:v>7</x:v>
      </x:c>
      <x:c r="AE110" s="50" t="n">
        <x:v>9</x:v>
      </x:c>
      <x:c r="AF110" s="50" t="n">
        <x:v>10</x:v>
      </x:c>
      <x:c r="AG110" s="50" t="n">
        <x:v>10</x:v>
      </x:c>
      <x:c r="AH110" s="57" t="n">
        <x:v>0</x:v>
      </x:c>
    </x:row>
    <x:row r="111" ht="34" customHeight="1">
      <x:c r="A111" s="87" t="n">
        <x:v>109</x:v>
      </x:c>
      <x:c r="B111" s="88" t="str">
        <x:f>IF(C111&gt;=82,"A"&amp;1&amp;" — kontakt natychmiast",IF(C111&gt;=72,"A"&amp;2&amp;" — kontakt w 7 dni",IF(C111&gt;=58,"B — kampania regionalna",IF(C111&gt;=42,"C — weryfikacja i nurturing","D — niski priorytet/wykluczyć"))))</x:f>
        <x:v>B — kampania regionalna</x:v>
      </x:c>
      <x:c r="C111" s="88" t="n">
        <x:f>MAX(0,MIN(100,SUM(AB111:AG111)-AH111))</x:f>
        <x:v>69</x:v>
      </x:c>
      <x:c r="D111" s="62" t="str">
        <x:v>Carmen Polska Sp. z o.o.</x:v>
      </x:c>
      <x:c r="E111" s="62" t="str">
        <x:v>Potencjalny reseller / odbiorca hurtowy</x:v>
      </x:c>
      <x:c r="F111" s="62" t="str">
        <x:v>S3 — Akcesoria dla palaczy/headshop</x:v>
      </x:c>
      <x:c r="G111" s="62" t="str">
        <x:v>Hurt B2B + detal</x:v>
      </x:c>
      <x:c r="H111" s="62" t="str">
        <x:v>Mazowieckie</x:v>
      </x:c>
      <x:c r="I111" s="62" t="str">
        <x:v>Warszawa</x:v>
      </x:c>
      <x:c r="J111" s="62" t="str">
        <x:v>Nieustalona</x:v>
      </x:c>
      <x:c r="K111" s="62" t="str"/>
      <x:c r="L111" s="62" t="str">
        <x:v>+48 22 868 14 49</x:v>
      </x:c>
      <x:c r="M111" s="62" t="str"/>
      <x:c r="N111" s="62" t="str"/>
      <x:c r="O111" s="62" t="str">
        <x:v>http://carmen.biz.pl</x:v>
      </x:c>
      <x:c r="P111" s="62" t="str">
        <x:v>Łopuszańska 24D, 02-220 Warszawa, Polska</x:v>
      </x:c>
      <x:c r="Q111" s="62" t="str"/>
      <x:c r="R111" s="62" t="str"/>
      <x:c r="S111" s="62" t="str">
        <x:v>Akcesoria Tytoniowe | Tytoń | Hurt | Sklep Tytoniowy</x:v>
      </x:c>
      <x:c r="T111" s="62" t="str">
        <x:f>IF(AND(K111&lt;&gt;"",L111&lt;&gt;"",O111&lt;&gt;""),"Pełny",IF(OR(K111&lt;&gt;"",L111&lt;&gt;""),"Częściowy","Brak bezpośredniego kontaktu"))</x:f>
        <x:v>Częściowy</x:v>
      </x:c>
      <x:c r="U111" s="62" t="str">
        <x:v>Nowy</x:v>
      </x:c>
      <x:c r="V111" s="62" t="str">
        <x:v>BILLS — hurt@bills.pl</x:v>
      </x:c>
      <x:c r="W111" s="62" t="str">
        <x:v>Dodać do kampanii regionalnej i wykonać follow-up telefoniczny</x:v>
      </x:c>
      <x:c r="X111" s="81" t="n">
        <x:f>IF(C111&gt;=82,'Model scoringu'!$B$4,IF(C111&gt;=72,'Model scoringu'!$B$5,IF(C111&gt;=58,'Model scoringu'!$B$6,"")))</x:f>
        <x:v>46234</x:v>
      </x:c>
      <x:c r="Y111" s="62" t="str">
        <x:v>Sprzedaż komplementarnych akcesoriów dla palaczy.</x:v>
      </x:c>
      <x:c r="Z111" s="62" t="str">
        <x:v>http://carmen.biz.pl</x:v>
      </x:c>
      <x:c r="AA111" s="62" t="str">
        <x:v>Status źródłowy: Niezweryfikowany</x:v>
      </x:c>
      <x:c r="AB111" s="50" t="n">
        <x:v>18</x:v>
      </x:c>
      <x:c r="AC111" s="50" t="n">
        <x:v>15</x:v>
      </x:c>
      <x:c r="AD111" s="50" t="n">
        <x:v>7</x:v>
      </x:c>
      <x:c r="AE111" s="50" t="n">
        <x:v>9</x:v>
      </x:c>
      <x:c r="AF111" s="50" t="n">
        <x:v>10</x:v>
      </x:c>
      <x:c r="AG111" s="50" t="n">
        <x:v>10</x:v>
      </x:c>
      <x:c r="AH111" s="57" t="n">
        <x:v>0</x:v>
      </x:c>
    </x:row>
    <x:row r="112" ht="34" customHeight="1">
      <x:c r="A112" s="87" t="n">
        <x:v>110</x:v>
      </x:c>
      <x:c r="B112" s="88" t="str">
        <x:f>IF(C112&gt;=82,"A"&amp;1&amp;" — kontakt natychmiast",IF(C112&gt;=72,"A"&amp;2&amp;" — kontakt w 7 dni",IF(C112&gt;=58,"B — kampania regionalna",IF(C112&gt;=42,"C — weryfikacja i nurturing","D — niski priorytet/wykluczyć"))))</x:f>
        <x:v>B — kampania regionalna</x:v>
      </x:c>
      <x:c r="C112" s="88" t="n">
        <x:f>MAX(0,MIN(100,SUM(AB112:AG112)-AH112))</x:f>
        <x:v>69</x:v>
      </x:c>
      <x:c r="D112" s="62" t="str">
        <x:v>ASW Trafika</x:v>
      </x:c>
      <x:c r="E112" s="62" t="str">
        <x:v>Potencjalny reseller / odbiorca hurtowy</x:v>
      </x:c>
      <x:c r="F112" s="62" t="str">
        <x:v>S3 — Akcesoria dla palaczy/headshop</x:v>
      </x:c>
      <x:c r="G112" s="62" t="str">
        <x:v>Hurt B2B + detal</x:v>
      </x:c>
      <x:c r="H112" s="62" t="str">
        <x:v>Kujawsko-pomorskie</x:v>
      </x:c>
      <x:c r="I112" s="62" t="str">
        <x:v>Bydgoszcz</x:v>
      </x:c>
      <x:c r="J112" s="62" t="str">
        <x:v>Nieustalona</x:v>
      </x:c>
      <x:c r="K112" s="62" t="str"/>
      <x:c r="L112" s="62" t="str">
        <x:v>+48 730 720 551</x:v>
      </x:c>
      <x:c r="M112" s="62" t="str"/>
      <x:c r="N112" s="62" t="str"/>
      <x:c r="O112" s="62" t="str">
        <x:v>https://web.facebook.com/ASW-Trafika-Sklep-Tytoniowy-486411178214372</x:v>
      </x:c>
      <x:c r="P112" s="62" t="str">
        <x:v>Jeremiego Przybory 1G, 85-791 Bydgoszcz, Polska</x:v>
      </x:c>
      <x:c r="Q112" s="62" t="str"/>
      <x:c r="R112" s="62" t="str"/>
      <x:c r="S112" s="62" t="str">
        <x:v>Akcesoria Tytoniowe | Tytoń | Hurt | Sklep Tytoniowy</x:v>
      </x:c>
      <x:c r="T112" s="62" t="str">
        <x:f>IF(AND(K112&lt;&gt;"",L112&lt;&gt;"",O112&lt;&gt;""),"Pełny",IF(OR(K112&lt;&gt;"",L112&lt;&gt;""),"Częściowy","Brak bezpośredniego kontaktu"))</x:f>
        <x:v>Częściowy</x:v>
      </x:c>
      <x:c r="U112" s="62" t="str">
        <x:v>Nowy</x:v>
      </x:c>
      <x:c r="V112" s="62" t="str">
        <x:v>BILLS — hurt@bills.pl</x:v>
      </x:c>
      <x:c r="W112" s="62" t="str">
        <x:v>Dodać do kampanii regionalnej i wykonać follow-up telefoniczny</x:v>
      </x:c>
      <x:c r="X112" s="81" t="n">
        <x:f>IF(C112&gt;=82,'Model scoringu'!$B$4,IF(C112&gt;=72,'Model scoringu'!$B$5,IF(C112&gt;=58,'Model scoringu'!$B$6,"")))</x:f>
        <x:v>46234</x:v>
      </x:c>
      <x:c r="Y112" s="62" t="str">
        <x:v>Sprzedaż komplementarnych akcesoriów dla palaczy.</x:v>
      </x:c>
      <x:c r="Z112" s="62" t="str">
        <x:v>https://web.facebook.com/ASW-Trafika-Sklep-Tytoniowy-486411178214372</x:v>
      </x:c>
      <x:c r="AA112" s="62" t="str">
        <x:v>Status źródłowy: Niezweryfikowany</x:v>
      </x:c>
      <x:c r="AB112" s="50" t="n">
        <x:v>18</x:v>
      </x:c>
      <x:c r="AC112" s="50" t="n">
        <x:v>15</x:v>
      </x:c>
      <x:c r="AD112" s="50" t="n">
        <x:v>7</x:v>
      </x:c>
      <x:c r="AE112" s="50" t="n">
        <x:v>9</x:v>
      </x:c>
      <x:c r="AF112" s="50" t="n">
        <x:v>10</x:v>
      </x:c>
      <x:c r="AG112" s="50" t="n">
        <x:v>10</x:v>
      </x:c>
      <x:c r="AH112" s="57" t="n">
        <x:v>0</x:v>
      </x:c>
    </x:row>
    <x:row r="113" ht="34" customHeight="1">
      <x:c r="A113" s="87" t="n">
        <x:v>111</x:v>
      </x:c>
      <x:c r="B113" s="88" t="str">
        <x:f>IF(C113&gt;=82,"A"&amp;1&amp;" — kontakt natychmiast",IF(C113&gt;=72,"A"&amp;2&amp;" — kontakt w 7 dni",IF(C113&gt;=58,"B — kampania regionalna",IF(C113&gt;=42,"C — weryfikacja i nurturing","D — niski priorytet/wykluczyć"))))</x:f>
        <x:v>B — kampania regionalna</x:v>
      </x:c>
      <x:c r="C113" s="88" t="n">
        <x:f>MAX(0,MIN(100,SUM(AB113:AG113)-AH113))</x:f>
        <x:v>69</x:v>
      </x:c>
      <x:c r="D113" s="62" t="str">
        <x:v>ABC. Hurtownia papierosów, art. chemiczno - kosmetyczno - higienicznych, Krówka Kaszubska</x:v>
      </x:c>
      <x:c r="E113" s="62" t="str">
        <x:v>Potencjalny reseller / odbiorca hurtowy</x:v>
      </x:c>
      <x:c r="F113" s="62" t="str">
        <x:v>S3 — Akcesoria dla palaczy/headshop</x:v>
      </x:c>
      <x:c r="G113" s="62" t="str">
        <x:v>Hurt B2B + detal</x:v>
      </x:c>
      <x:c r="H113" s="62" t="str">
        <x:v>Pomorskie</x:v>
      </x:c>
      <x:c r="I113" s="62" t="str">
        <x:v>Władysławowo</x:v>
      </x:c>
      <x:c r="J113" s="62" t="str">
        <x:v>Nieustalona</x:v>
      </x:c>
      <x:c r="K113" s="62" t="str"/>
      <x:c r="L113" s="62" t="str">
        <x:v>+48 58 674 24 40</x:v>
      </x:c>
      <x:c r="M113" s="62" t="str"/>
      <x:c r="N113" s="62" t="str"/>
      <x:c r="O113" s="62" t="str">
        <x:v>http://www.hurtabc.pl</x:v>
      </x:c>
      <x:c r="P113" s="62" t="str">
        <x:v>Harcerska 8, 84-120 Władysławowo, Polska</x:v>
      </x:c>
      <x:c r="Q113" s="62" t="str"/>
      <x:c r="R113" s="62" t="str"/>
      <x:c r="S113" s="62" t="str">
        <x:v>Akcesoria Tytoniowe | Tytoń | Hurt | Sklep Tytoniowy</x:v>
      </x:c>
      <x:c r="T113" s="62" t="str">
        <x:f>IF(AND(K113&lt;&gt;"",L113&lt;&gt;"",O113&lt;&gt;""),"Pełny",IF(OR(K113&lt;&gt;"",L113&lt;&gt;""),"Częściowy","Brak bezpośredniego kontaktu"))</x:f>
        <x:v>Częściowy</x:v>
      </x:c>
      <x:c r="U113" s="62" t="str">
        <x:v>Nowy</x:v>
      </x:c>
      <x:c r="V113" s="62" t="str">
        <x:v>BILLS — hurt@bills.pl</x:v>
      </x:c>
      <x:c r="W113" s="62" t="str">
        <x:v>Dodać do kampanii regionalnej i wykonać follow-up telefoniczny</x:v>
      </x:c>
      <x:c r="X113" s="81" t="n">
        <x:f>IF(C113&gt;=82,'Model scoringu'!$B$4,IF(C113&gt;=72,'Model scoringu'!$B$5,IF(C113&gt;=58,'Model scoringu'!$B$6,"")))</x:f>
        <x:v>46234</x:v>
      </x:c>
      <x:c r="Y113" s="62" t="str">
        <x:v>Sprzedaż komplementarnych akcesoriów dla palaczy.</x:v>
      </x:c>
      <x:c r="Z113" s="62" t="str">
        <x:v>http://www.hurtabc.pl</x:v>
      </x:c>
      <x:c r="AA113" s="62" t="str">
        <x:v>Status źródłowy: Niezweryfikowany</x:v>
      </x:c>
      <x:c r="AB113" s="50" t="n">
        <x:v>18</x:v>
      </x:c>
      <x:c r="AC113" s="50" t="n">
        <x:v>15</x:v>
      </x:c>
      <x:c r="AD113" s="50" t="n">
        <x:v>7</x:v>
      </x:c>
      <x:c r="AE113" s="50" t="n">
        <x:v>9</x:v>
      </x:c>
      <x:c r="AF113" s="50" t="n">
        <x:v>10</x:v>
      </x:c>
      <x:c r="AG113" s="50" t="n">
        <x:v>10</x:v>
      </x:c>
      <x:c r="AH113" s="57" t="n">
        <x:v>0</x:v>
      </x:c>
    </x:row>
    <x:row r="114" ht="34" customHeight="1">
      <x:c r="A114" s="87" t="n">
        <x:v>112</x:v>
      </x:c>
      <x:c r="B114" s="88" t="str">
        <x:f>IF(C114&gt;=82,"A"&amp;1&amp;" — kontakt natychmiast",IF(C114&gt;=72,"A"&amp;2&amp;" — kontakt w 7 dni",IF(C114&gt;=58,"B — kampania regionalna",IF(C114&gt;=42,"C — weryfikacja i nurturing","D — niski priorytet/wykluczyć"))))</x:f>
        <x:v>B — kampania regionalna</x:v>
      </x:c>
      <x:c r="C114" s="88" t="n">
        <x:f>MAX(0,MIN(100,SUM(AB114:AG114)-AH114))</x:f>
        <x:v>68</x:v>
      </x:c>
      <x:c r="D114" s="62" t="str">
        <x:v>Liquider Poland Sp. z o.o. Sp.k.</x:v>
      </x:c>
      <x:c r="E114" s="62" t="str">
        <x:v>Partner strategiczny / producent</x:v>
      </x:c>
      <x:c r="F114" s="62" t="str">
        <x:v>S4 — Vape/e-papierosy</x:v>
      </x:c>
      <x:c r="G114" s="62" t="str">
        <x:v>Producent</x:v>
      </x:c>
      <x:c r="H114" s="62" t="str">
        <x:v>Opolskie</x:v>
      </x:c>
      <x:c r="I114" s="62" t="str">
        <x:v>Jasin</x:v>
      </x:c>
      <x:c r="J114" s="62" t="str">
        <x:v>Duży</x:v>
      </x:c>
      <x:c r="K114" s="62" t="str">
        <x:v>b2b@liquider.pl</x:v>
      </x:c>
      <x:c r="L114" s="62" t="str">
        <x:v>+48 694 577 879</x:v>
      </x:c>
      <x:c r="M114" s="62" t="str"/>
      <x:c r="N114" s="62" t="str"/>
      <x:c r="O114" s="62" t="str">
        <x:v>https://b2b.liquider.pl</x:v>
      </x:c>
      <x:c r="P114" s="62" t="str">
        <x:v>ul. Poznańska 21, 62-020 Jasin</x:v>
      </x:c>
      <x:c r="Q114" s="62" t="str"/>
      <x:c r="R114" s="62" t="str"/>
      <x:c r="S114" s="62" t="str">
        <x:v>Liquidy | Premixy | Bazy | Akcesoria vape | Vape | Liquidy | CBD</x:v>
      </x:c>
      <x:c r="T114" s="62" t="str">
        <x:f>IF(AND(K114&lt;&gt;"",L114&lt;&gt;"",O114&lt;&gt;""),"Pełny",IF(OR(K114&lt;&gt;"",L114&lt;&gt;""),"Częściowy","Brak bezpośredniego kontaktu"))</x:f>
        <x:v>Pełny</x:v>
      </x:c>
      <x:c r="U114" s="62" t="str">
        <x:v>Nowy</x:v>
      </x:c>
      <x:c r="V114" s="62" t="str">
        <x:v>BILLS — hurt@bills.pl</x:v>
      </x:c>
      <x:c r="W114" s="62" t="str">
        <x:v>Dodać do kampanii regionalnej i wykonać follow-up telefoniczny</x:v>
      </x:c>
      <x:c r="X114" s="81" t="n">
        <x:f>IF(C114&gt;=82,'Model scoringu'!$B$4,IF(C114&gt;=72,'Model scoringu'!$B$5,IF(C114&gt;=58,'Model scoringu'!$B$6,"")))</x:f>
        <x:v>46234</x:v>
      </x:c>
      <x:c r="Y114" s="62" t="str">
        <x:v>Kanał sąsiedni z bazą klientów zainteresowanych produktami nikotynowymi.</x:v>
      </x:c>
      <x:c r="Z114" s="62" t="str">
        <x:v>https://b2b.liquider.pl/o-nas | https://liquider.eu/ | https://b2b.liquider.pl</x:v>
      </x:c>
      <x:c r="AA114" s="62" t="str">
        <x:v>Status źródłowy: Zweryfikowany — aktywna strona/B2B</x:v>
      </x:c>
      <x:c r="AB114" s="50" t="n">
        <x:v>11</x:v>
      </x:c>
      <x:c r="AC114" s="50" t="n">
        <x:v>7</x:v>
      </x:c>
      <x:c r="AD114" s="50" t="n">
        <x:v>15</x:v>
      </x:c>
      <x:c r="AE114" s="50" t="n">
        <x:v>15</x:v>
      </x:c>
      <x:c r="AF114" s="50" t="n">
        <x:v>10</x:v>
      </x:c>
      <x:c r="AG114" s="50" t="n">
        <x:v>10</x:v>
      </x:c>
      <x:c r="AH114" s="57" t="n">
        <x:v>0</x:v>
      </x:c>
    </x:row>
    <x:row r="115" ht="34" customHeight="1">
      <x:c r="A115" s="87" t="n">
        <x:v>113</x:v>
      </x:c>
      <x:c r="B115" s="88" t="str">
        <x:f>IF(C115&gt;=82,"A"&amp;1&amp;" — kontakt natychmiast",IF(C115&gt;=72,"A"&amp;2&amp;" — kontakt w 7 dni",IF(C115&gt;=58,"B — kampania regionalna",IF(C115&gt;=42,"C — weryfikacja i nurturing","D — niski priorytet/wykluczyć"))))</x:f>
        <x:v>B — kampania regionalna</x:v>
      </x:c>
      <x:c r="C115" s="88" t="n">
        <x:f>MAX(0,MIN(100,SUM(AB115:AG115)-AH115))</x:f>
        <x:v>68</x:v>
      </x:c>
      <x:c r="D115" s="62" t="str">
        <x:v>Hurtownia papierosów — Szczytno</x:v>
      </x:c>
      <x:c r="E115" s="62" t="str">
        <x:v>Potencjalny reseller / odbiorca hurtowy</x:v>
      </x:c>
      <x:c r="F115" s="62" t="str">
        <x:v>S2 — Hurtownie tytoniowe/FMCG</x:v>
      </x:c>
      <x:c r="G115" s="62" t="str">
        <x:v>Hurt B2B regionalny</x:v>
      </x:c>
      <x:c r="H115" s="62" t="str">
        <x:v>Warmińsko-mazurskie</x:v>
      </x:c>
      <x:c r="I115" s="62" t="str">
        <x:v>Szczytno</x:v>
      </x:c>
      <x:c r="J115" s="62" t="str">
        <x:v>Mały–średni</x:v>
      </x:c>
      <x:c r="K115" s="62" t="str"/>
      <x:c r="L115" s="62" t="str">
        <x:v>+48 89 624 07 57</x:v>
      </x:c>
      <x:c r="M115" s="62" t="str"/>
      <x:c r="N115" s="62" t="str"/>
      <x:c r="O115" s="62" t="str"/>
      <x:c r="P115" s="62" t="str">
        <x:v>ul. Osuchowskiego 15, Szczytno</x:v>
      </x:c>
      <x:c r="Q115" s="62" t="str"/>
      <x:c r="R115" s="62" t="str"/>
      <x:c r="S115" s="62" t="str">
        <x:v>Papierosy | Wyroby tytoniowe | Tytoń</x:v>
      </x:c>
      <x:c r="T115" s="62" t="str">
        <x:f>IF(AND(K115&lt;&gt;"",L115&lt;&gt;"",O115&lt;&gt;""),"Pełny",IF(OR(K115&lt;&gt;"",L115&lt;&gt;""),"Częściowy","Brak bezpośredniego kontaktu"))</x:f>
        <x:v>Częściowy</x:v>
      </x:c>
      <x:c r="U115" s="62" t="str">
        <x:v>Nowy</x:v>
      </x:c>
      <x:c r="V115" s="62" t="str">
        <x:v>BILLS — hurt@bills.pl</x:v>
      </x:c>
      <x:c r="W115" s="62" t="str">
        <x:v>Dodać do kampanii regionalnej i wykonać follow-up telefoniczny</x:v>
      </x:c>
      <x:c r="X115" s="81" t="n">
        <x:f>IF(C115&gt;=82,'Model scoringu'!$B$4,IF(C115&gt;=72,'Model scoringu'!$B$5,IF(C115&gt;=58,'Model scoringu'!$B$6,"")))</x:f>
        <x:v>46234</x:v>
      </x:c>
      <x:c r="Y115" s="62" t="str">
        <x:v>Dostęp do sklepów tytoniowych i tradycyjnego handlu.</x:v>
      </x:c>
      <x:c r="Z115" s="62" t="str">
        <x:v>https://www.pkt.pl/szukaj/hurtownia-papierosow</x:v>
      </x:c>
      <x:c r="AA115" s="62" t="str">
        <x:v>Status źródłowy: Do weryfikacji — katalog</x:v>
      </x:c>
      <x:c r="AB115" s="50" t="n">
        <x:v>22</x:v>
      </x:c>
      <x:c r="AC115" s="50" t="n">
        <x:v>15</x:v>
      </x:c>
      <x:c r="AD115" s="50" t="n">
        <x:v>11</x:v>
      </x:c>
      <x:c r="AE115" s="50" t="n">
        <x:v>6</x:v>
      </x:c>
      <x:c r="AF115" s="50" t="n">
        <x:v>10</x:v>
      </x:c>
      <x:c r="AG115" s="50" t="n">
        <x:v>4</x:v>
      </x:c>
      <x:c r="AH115" s="57" t="n">
        <x:v>0</x:v>
      </x:c>
    </x:row>
    <x:row r="116" ht="34" customHeight="1">
      <x:c r="A116" s="87" t="n">
        <x:v>114</x:v>
      </x:c>
      <x:c r="B116" s="88" t="str">
        <x:f>IF(C116&gt;=82,"A"&amp;1&amp;" — kontakt natychmiast",IF(C116&gt;=72,"A"&amp;2&amp;" — kontakt w 7 dni",IF(C116&gt;=58,"B — kampania regionalna",IF(C116&gt;=42,"C — weryfikacja i nurturing","D — niski priorytet/wykluczyć"))))</x:f>
        <x:v>B — kampania regionalna</x:v>
      </x:c>
      <x:c r="C116" s="88" t="n">
        <x:f>MAX(0,MIN(100,SUM(AB116:AG116)-AH116))</x:f>
        <x:v>68</x:v>
      </x:c>
      <x:c r="D116" s="62" t="str">
        <x:v>Hurtownia papierosów — Mostki</x:v>
      </x:c>
      <x:c r="E116" s="62" t="str">
        <x:v>Potencjalny reseller / odbiorca hurtowy</x:v>
      </x:c>
      <x:c r="F116" s="62" t="str">
        <x:v>S2 — Hurtownie tytoniowe/FMCG</x:v>
      </x:c>
      <x:c r="G116" s="62" t="str">
        <x:v>Hurt B2B regionalny</x:v>
      </x:c>
      <x:c r="H116" s="62" t="str">
        <x:v>Lubuskie</x:v>
      </x:c>
      <x:c r="I116" s="62" t="str">
        <x:v>Mostki</x:v>
      </x:c>
      <x:c r="J116" s="62" t="str">
        <x:v>Mały–średni</x:v>
      </x:c>
      <x:c r="K116" s="62" t="str"/>
      <x:c r="L116" s="62" t="str">
        <x:v>+48 68 381 12 26</x:v>
      </x:c>
      <x:c r="M116" s="62" t="str"/>
      <x:c r="N116" s="62" t="str"/>
      <x:c r="O116" s="62" t="str"/>
      <x:c r="P116" s="62" t="str">
        <x:v>Mostki 15</x:v>
      </x:c>
      <x:c r="Q116" s="62" t="str"/>
      <x:c r="R116" s="62" t="str"/>
      <x:c r="S116" s="62" t="str">
        <x:v>Papierosy | Wyroby tytoniowe | Tytoń</x:v>
      </x:c>
      <x:c r="T116" s="62" t="str">
        <x:f>IF(AND(K116&lt;&gt;"",L116&lt;&gt;"",O116&lt;&gt;""),"Pełny",IF(OR(K116&lt;&gt;"",L116&lt;&gt;""),"Częściowy","Brak bezpośredniego kontaktu"))</x:f>
        <x:v>Częściowy</x:v>
      </x:c>
      <x:c r="U116" s="62" t="str">
        <x:v>Nowy</x:v>
      </x:c>
      <x:c r="V116" s="62" t="str">
        <x:v>BILLS — hurt@bills.pl</x:v>
      </x:c>
      <x:c r="W116" s="62" t="str">
        <x:v>Dodać do kampanii regionalnej i wykonać follow-up telefoniczny</x:v>
      </x:c>
      <x:c r="X116" s="81" t="n">
        <x:f>IF(C116&gt;=82,'Model scoringu'!$B$4,IF(C116&gt;=72,'Model scoringu'!$B$5,IF(C116&gt;=58,'Model scoringu'!$B$6,"")))</x:f>
        <x:v>46234</x:v>
      </x:c>
      <x:c r="Y116" s="62" t="str">
        <x:v>Dostęp do sklepów tytoniowych i tradycyjnego handlu.</x:v>
      </x:c>
      <x:c r="Z116" s="62" t="str">
        <x:v>https://www.pkt.pl/szukaj/hurtownia-papierosow</x:v>
      </x:c>
      <x:c r="AA116" s="62" t="str">
        <x:v>Status źródłowy: Do weryfikacji — katalog</x:v>
      </x:c>
      <x:c r="AB116" s="50" t="n">
        <x:v>22</x:v>
      </x:c>
      <x:c r="AC116" s="50" t="n">
        <x:v>15</x:v>
      </x:c>
      <x:c r="AD116" s="50" t="n">
        <x:v>11</x:v>
      </x:c>
      <x:c r="AE116" s="50" t="n">
        <x:v>6</x:v>
      </x:c>
      <x:c r="AF116" s="50" t="n">
        <x:v>10</x:v>
      </x:c>
      <x:c r="AG116" s="50" t="n">
        <x:v>4</x:v>
      </x:c>
      <x:c r="AH116" s="57" t="n">
        <x:v>0</x:v>
      </x:c>
    </x:row>
    <x:row r="117" ht="34" customHeight="1">
      <x:c r="A117" s="87" t="n">
        <x:v>115</x:v>
      </x:c>
      <x:c r="B117" s="88" t="str">
        <x:f>IF(C117&gt;=82,"A"&amp;1&amp;" — kontakt natychmiast",IF(C117&gt;=72,"A"&amp;2&amp;" — kontakt w 7 dni",IF(C117&gt;=58,"B — kampania regionalna",IF(C117&gt;=42,"C — weryfikacja i nurturing","D — niski priorytet/wykluczyć"))))</x:f>
        <x:v>B — kampania regionalna</x:v>
      </x:c>
      <x:c r="C117" s="88" t="n">
        <x:f>MAX(0,MIN(100,SUM(AB117:AG117)-AH117))</x:f>
        <x:v>68</x:v>
      </x:c>
      <x:c r="D117" s="62" t="str">
        <x:v>Hurtownia papierosów — Koluszki</x:v>
      </x:c>
      <x:c r="E117" s="62" t="str">
        <x:v>Potencjalny reseller / odbiorca hurtowy</x:v>
      </x:c>
      <x:c r="F117" s="62" t="str">
        <x:v>S2 — Hurtownie tytoniowe/FMCG</x:v>
      </x:c>
      <x:c r="G117" s="62" t="str">
        <x:v>Hurt B2B regionalny</x:v>
      </x:c>
      <x:c r="H117" s="62" t="str">
        <x:v>Łódzkie</x:v>
      </x:c>
      <x:c r="I117" s="62" t="str">
        <x:v>Koluszki</x:v>
      </x:c>
      <x:c r="J117" s="62" t="str">
        <x:v>Mały–średni</x:v>
      </x:c>
      <x:c r="K117" s="62" t="str"/>
      <x:c r="L117" s="62" t="str">
        <x:v>+48 601 153 355</x:v>
      </x:c>
      <x:c r="M117" s="62" t="str"/>
      <x:c r="N117" s="62" t="str"/>
      <x:c r="O117" s="62" t="str"/>
      <x:c r="P117" s="62" t="str">
        <x:v>ul. Sikorskiego 11, Koluszki</x:v>
      </x:c>
      <x:c r="Q117" s="62" t="str"/>
      <x:c r="R117" s="62" t="str"/>
      <x:c r="S117" s="62" t="str">
        <x:v>Papierosy | Wyroby tytoniowe | Tytoń</x:v>
      </x:c>
      <x:c r="T117" s="62" t="str">
        <x:f>IF(AND(K117&lt;&gt;"",L117&lt;&gt;"",O117&lt;&gt;""),"Pełny",IF(OR(K117&lt;&gt;"",L117&lt;&gt;""),"Częściowy","Brak bezpośredniego kontaktu"))</x:f>
        <x:v>Częściowy</x:v>
      </x:c>
      <x:c r="U117" s="62" t="str">
        <x:v>Nowy</x:v>
      </x:c>
      <x:c r="V117" s="62" t="str">
        <x:v>BILLS — hurt@bills.pl</x:v>
      </x:c>
      <x:c r="W117" s="62" t="str">
        <x:v>Dodać do kampanii regionalnej i wykonać follow-up telefoniczny</x:v>
      </x:c>
      <x:c r="X117" s="81" t="n">
        <x:f>IF(C117&gt;=82,'Model scoringu'!$B$4,IF(C117&gt;=72,'Model scoringu'!$B$5,IF(C117&gt;=58,'Model scoringu'!$B$6,"")))</x:f>
        <x:v>46234</x:v>
      </x:c>
      <x:c r="Y117" s="62" t="str">
        <x:v>Dostęp do sklepów tytoniowych i tradycyjnego handlu.</x:v>
      </x:c>
      <x:c r="Z117" s="62" t="str">
        <x:v>https://www.pkt.pl/szukaj/hurtownia-papierosow</x:v>
      </x:c>
      <x:c r="AA117" s="62" t="str">
        <x:v>Status źródłowy: Do weryfikacji — katalog</x:v>
      </x:c>
      <x:c r="AB117" s="50" t="n">
        <x:v>22</x:v>
      </x:c>
      <x:c r="AC117" s="50" t="n">
        <x:v>15</x:v>
      </x:c>
      <x:c r="AD117" s="50" t="n">
        <x:v>11</x:v>
      </x:c>
      <x:c r="AE117" s="50" t="n">
        <x:v>6</x:v>
      </x:c>
      <x:c r="AF117" s="50" t="n">
        <x:v>10</x:v>
      </x:c>
      <x:c r="AG117" s="50" t="n">
        <x:v>4</x:v>
      </x:c>
      <x:c r="AH117" s="57" t="n">
        <x:v>0</x:v>
      </x:c>
    </x:row>
    <x:row r="118" ht="34" customHeight="1">
      <x:c r="A118" s="87" t="n">
        <x:v>116</x:v>
      </x:c>
      <x:c r="B118" s="88" t="str">
        <x:f>IF(C118&gt;=82,"A"&amp;1&amp;" — kontakt natychmiast",IF(C118&gt;=72,"A"&amp;2&amp;" — kontakt w 7 dni",IF(C118&gt;=58,"B — kampania regionalna",IF(C118&gt;=42,"C — weryfikacja i nurturing","D — niski priorytet/wykluczyć"))))</x:f>
        <x:v>B — kampania regionalna</x:v>
      </x:c>
      <x:c r="C118" s="88" t="n">
        <x:f>MAX(0,MIN(100,SUM(AB118:AG118)-AH118))</x:f>
        <x:v>68</x:v>
      </x:c>
      <x:c r="D118" s="62" t="str">
        <x:v>Hurtownia papierosów — Czerwionka-Leszczyny</x:v>
      </x:c>
      <x:c r="E118" s="62" t="str">
        <x:v>Potencjalny reseller / odbiorca hurtowy</x:v>
      </x:c>
      <x:c r="F118" s="62" t="str">
        <x:v>S2 — Hurtownie tytoniowe/FMCG</x:v>
      </x:c>
      <x:c r="G118" s="62" t="str">
        <x:v>Hurt B2B regionalny</x:v>
      </x:c>
      <x:c r="H118" s="62" t="str">
        <x:v>Śląskie</x:v>
      </x:c>
      <x:c r="I118" s="62" t="str">
        <x:v>Czerwionka-Leszczyny</x:v>
      </x:c>
      <x:c r="J118" s="62" t="str">
        <x:v>Mały–średni</x:v>
      </x:c>
      <x:c r="K118" s="62" t="str"/>
      <x:c r="L118" s="62" t="str">
        <x:v>+48 32 431 37 62</x:v>
      </x:c>
      <x:c r="M118" s="62" t="str"/>
      <x:c r="N118" s="62" t="str"/>
      <x:c r="O118" s="62" t="str"/>
      <x:c r="P118" s="62" t="str">
        <x:v>ul. Kwiatowa 17, Czerwionka-Leszczyny</x:v>
      </x:c>
      <x:c r="Q118" s="62" t="str"/>
      <x:c r="R118" s="62" t="str"/>
      <x:c r="S118" s="62" t="str">
        <x:v>Papierosy | Wyroby tytoniowe | Tytoń</x:v>
      </x:c>
      <x:c r="T118" s="62" t="str">
        <x:f>IF(AND(K118&lt;&gt;"",L118&lt;&gt;"",O118&lt;&gt;""),"Pełny",IF(OR(K118&lt;&gt;"",L118&lt;&gt;""),"Częściowy","Brak bezpośredniego kontaktu"))</x:f>
        <x:v>Częściowy</x:v>
      </x:c>
      <x:c r="U118" s="62" t="str">
        <x:v>Nowy</x:v>
      </x:c>
      <x:c r="V118" s="62" t="str">
        <x:v>BILLS — hurt@bills.pl</x:v>
      </x:c>
      <x:c r="W118" s="62" t="str">
        <x:v>Dodać do kampanii regionalnej i wykonać follow-up telefoniczny</x:v>
      </x:c>
      <x:c r="X118" s="81" t="n">
        <x:f>IF(C118&gt;=82,'Model scoringu'!$B$4,IF(C118&gt;=72,'Model scoringu'!$B$5,IF(C118&gt;=58,'Model scoringu'!$B$6,"")))</x:f>
        <x:v>46234</x:v>
      </x:c>
      <x:c r="Y118" s="62" t="str">
        <x:v>Dostęp do sklepów tytoniowych i tradycyjnego handlu.</x:v>
      </x:c>
      <x:c r="Z118" s="62" t="str">
        <x:v>https://www.pkt.pl/szukaj/hurtownia-papierosow</x:v>
      </x:c>
      <x:c r="AA118" s="62" t="str">
        <x:v>Status źródłowy: Do weryfikacji — katalog</x:v>
      </x:c>
      <x:c r="AB118" s="50" t="n">
        <x:v>22</x:v>
      </x:c>
      <x:c r="AC118" s="50" t="n">
        <x:v>15</x:v>
      </x:c>
      <x:c r="AD118" s="50" t="n">
        <x:v>11</x:v>
      </x:c>
      <x:c r="AE118" s="50" t="n">
        <x:v>6</x:v>
      </x:c>
      <x:c r="AF118" s="50" t="n">
        <x:v>10</x:v>
      </x:c>
      <x:c r="AG118" s="50" t="n">
        <x:v>4</x:v>
      </x:c>
      <x:c r="AH118" s="57" t="n">
        <x:v>0</x:v>
      </x:c>
    </x:row>
    <x:row r="119" ht="34" customHeight="1">
      <x:c r="A119" s="87" t="n">
        <x:v>117</x:v>
      </x:c>
      <x:c r="B119" s="88" t="str">
        <x:f>IF(C119&gt;=82,"A"&amp;1&amp;" — kontakt natychmiast",IF(C119&gt;=72,"A"&amp;2&amp;" — kontakt w 7 dni",IF(C119&gt;=58,"B — kampania regionalna",IF(C119&gt;=42,"C — weryfikacja i nurturing","D — niski priorytet/wykluczyć"))))</x:f>
        <x:v>B — kampania regionalna</x:v>
      </x:c>
      <x:c r="C119" s="88" t="n">
        <x:f>MAX(0,MIN(100,SUM(AB119:AG119)-AH119))</x:f>
        <x:v>68</x:v>
      </x:c>
      <x:c r="D119" s="62" t="str">
        <x:v>EM — hurtownia papierosów, artykułów przemysłowych i spożywczych</x:v>
      </x:c>
      <x:c r="E119" s="62" t="str">
        <x:v>Potencjalny reseller / odbiorca hurtowy</x:v>
      </x:c>
      <x:c r="F119" s="62" t="str">
        <x:v>S2 — Hurtownie tytoniowe/FMCG</x:v>
      </x:c>
      <x:c r="G119" s="62" t="str">
        <x:v>Hurt B2B regionalny</x:v>
      </x:c>
      <x:c r="H119" s="62" t="str">
        <x:v>Łódzkie</x:v>
      </x:c>
      <x:c r="I119" s="62" t="str">
        <x:v>Łęczyca</x:v>
      </x:c>
      <x:c r="J119" s="62" t="str">
        <x:v>Mały–średni</x:v>
      </x:c>
      <x:c r="K119" s="62" t="str"/>
      <x:c r="L119" s="62" t="str">
        <x:v>+48 24 721 22 97</x:v>
      </x:c>
      <x:c r="M119" s="62" t="str"/>
      <x:c r="N119" s="62" t="str"/>
      <x:c r="O119" s="62" t="str"/>
      <x:c r="P119" s="62" t="str">
        <x:v>ul. Tumska, Łęczyca</x:v>
      </x:c>
      <x:c r="Q119" s="62" t="str"/>
      <x:c r="R119" s="62" t="str"/>
      <x:c r="S119" s="62" t="str">
        <x:v>Papierosy | FMCG | Produkty impulsowe | Tytoń | FMCG | Artykuły przemysłowe</x:v>
      </x:c>
      <x:c r="T119" s="62" t="str">
        <x:f>IF(AND(K119&lt;&gt;"",L119&lt;&gt;"",O119&lt;&gt;""),"Pełny",IF(OR(K119&lt;&gt;"",L119&lt;&gt;""),"Częściowy","Brak bezpośredniego kontaktu"))</x:f>
        <x:v>Częściowy</x:v>
      </x:c>
      <x:c r="U119" s="62" t="str">
        <x:v>Nowy</x:v>
      </x:c>
      <x:c r="V119" s="62" t="str">
        <x:v>BILLS — hurt@bills.pl</x:v>
      </x:c>
      <x:c r="W119" s="62" t="str">
        <x:v>Dodać do kampanii regionalnej i wykonać follow-up telefoniczny</x:v>
      </x:c>
      <x:c r="X119" s="81" t="n">
        <x:f>IF(C119&gt;=82,'Model scoringu'!$B$4,IF(C119&gt;=72,'Model scoringu'!$B$5,IF(C119&gt;=58,'Model scoringu'!$B$6,"")))</x:f>
        <x:v>46234</x:v>
      </x:c>
      <x:c r="Y119" s="62" t="str">
        <x:v>Dostęp do sklepów tytoniowych i tradycyjnego handlu.</x:v>
      </x:c>
      <x:c r="Z119" s="62" t="str">
        <x:v>https://www.pkt.pl/szukaj/hurtownia-papierosow</x:v>
      </x:c>
      <x:c r="AA119" s="62" t="str">
        <x:v>Status źródłowy: Do weryfikacji — katalog</x:v>
      </x:c>
      <x:c r="AB119" s="50" t="n">
        <x:v>22</x:v>
      </x:c>
      <x:c r="AC119" s="50" t="n">
        <x:v>15</x:v>
      </x:c>
      <x:c r="AD119" s="50" t="n">
        <x:v>11</x:v>
      </x:c>
      <x:c r="AE119" s="50" t="n">
        <x:v>6</x:v>
      </x:c>
      <x:c r="AF119" s="50" t="n">
        <x:v>10</x:v>
      </x:c>
      <x:c r="AG119" s="50" t="n">
        <x:v>4</x:v>
      </x:c>
      <x:c r="AH119" s="57" t="n">
        <x:v>0</x:v>
      </x:c>
    </x:row>
    <x:row r="120" ht="34" customHeight="1">
      <x:c r="A120" s="87" t="n">
        <x:v>118</x:v>
      </x:c>
      <x:c r="B120" s="88" t="str">
        <x:f>IF(C120&gt;=82,"A"&amp;1&amp;" — kontakt natychmiast",IF(C120&gt;=72,"A"&amp;2&amp;" — kontakt w 7 dni",IF(C120&gt;=58,"B — kampania regionalna",IF(C120&gt;=42,"C — weryfikacja i nurturing","D — niski priorytet/wykluczyć"))))</x:f>
        <x:v>B — kampania regionalna</x:v>
      </x:c>
      <x:c r="C120" s="88" t="n">
        <x:f>MAX(0,MIN(100,SUM(AB120:AG120)-AH120))</x:f>
        <x:v>68</x:v>
      </x:c>
      <x:c r="D120" s="62" t="str">
        <x:v>Dzidek — Hurtownia papierosów, oddział Gdańsk</x:v>
      </x:c>
      <x:c r="E120" s="62" t="str">
        <x:v>Potencjalny reseller / odbiorca hurtowy</x:v>
      </x:c>
      <x:c r="F120" s="62" t="str">
        <x:v>S2 — Hurtownie tytoniowe/FMCG</x:v>
      </x:c>
      <x:c r="G120" s="62" t="str">
        <x:v>Hurt B2B regionalny</x:v>
      </x:c>
      <x:c r="H120" s="62" t="str">
        <x:v>Pomorskie</x:v>
      </x:c>
      <x:c r="I120" s="62" t="str">
        <x:v>Gdańsk</x:v>
      </x:c>
      <x:c r="J120" s="62" t="str">
        <x:v>Średni</x:v>
      </x:c>
      <x:c r="K120" s="62" t="str"/>
      <x:c r="L120" s="62" t="str">
        <x:v>+48 58 341 88 38</x:v>
      </x:c>
      <x:c r="M120" s="62" t="str"/>
      <x:c r="N120" s="62" t="str"/>
      <x:c r="O120" s="62" t="str"/>
      <x:c r="P120" s="62" t="str">
        <x:v>ul. Kościuszki 116, Gdańsk</x:v>
      </x:c>
      <x:c r="Q120" s="62" t="str"/>
      <x:c r="R120" s="62" t="str"/>
      <x:c r="S120" s="62" t="str">
        <x:v>Papierosy | Wyroby tytoniowe | Tytoń</x:v>
      </x:c>
      <x:c r="T120" s="62" t="str">
        <x:f>IF(AND(K120&lt;&gt;"",L120&lt;&gt;"",O120&lt;&gt;""),"Pełny",IF(OR(K120&lt;&gt;"",L120&lt;&gt;""),"Częściowy","Brak bezpośredniego kontaktu"))</x:f>
        <x:v>Częściowy</x:v>
      </x:c>
      <x:c r="U120" s="62" t="str">
        <x:v>Nowy</x:v>
      </x:c>
      <x:c r="V120" s="62" t="str">
        <x:v>BILLS — hurt@bills.pl</x:v>
      </x:c>
      <x:c r="W120" s="62" t="str">
        <x:v>Dodać do kampanii regionalnej i wykonać follow-up telefoniczny</x:v>
      </x:c>
      <x:c r="X120" s="81" t="n">
        <x:f>IF(C120&gt;=82,'Model scoringu'!$B$4,IF(C120&gt;=72,'Model scoringu'!$B$5,IF(C120&gt;=58,'Model scoringu'!$B$6,"")))</x:f>
        <x:v>46234</x:v>
      </x:c>
      <x:c r="Y120" s="62" t="str">
        <x:v>Dostęp do sklepów tytoniowych i tradycyjnego handlu.</x:v>
      </x:c>
      <x:c r="Z120" s="62" t="str">
        <x:v>https://www.pkt.pl/szukaj/hurtownia-papierosow</x:v>
      </x:c>
      <x:c r="AA120" s="62" t="str">
        <x:v>Dodano jako osobny lead, ponieważ w starszej bazie nazwa była ukryta w niepowiązanym polu name_alt. | Status źródłowy: Do weryfikacji — katalog</x:v>
      </x:c>
      <x:c r="AB120" s="50" t="n">
        <x:v>22</x:v>
      </x:c>
      <x:c r="AC120" s="50" t="n">
        <x:v>15</x:v>
      </x:c>
      <x:c r="AD120" s="50" t="n">
        <x:v>11</x:v>
      </x:c>
      <x:c r="AE120" s="50" t="n">
        <x:v>6</x:v>
      </x:c>
      <x:c r="AF120" s="50" t="n">
        <x:v>10</x:v>
      </x:c>
      <x:c r="AG120" s="50" t="n">
        <x:v>4</x:v>
      </x:c>
      <x:c r="AH120" s="57" t="n">
        <x:v>0</x:v>
      </x:c>
    </x:row>
    <x:row r="121" ht="34" customHeight="1">
      <x:c r="A121" s="87" t="n">
        <x:v>119</x:v>
      </x:c>
      <x:c r="B121" s="88" t="str">
        <x:f>IF(C121&gt;=82,"A"&amp;1&amp;" — kontakt natychmiast",IF(C121&gt;=72,"A"&amp;2&amp;" — kontakt w 7 dni",IF(C121&gt;=58,"B — kampania regionalna",IF(C121&gt;=42,"C — weryfikacja i nurturing","D — niski priorytet/wykluczyć"))))</x:f>
        <x:v>B — kampania regionalna</x:v>
      </x:c>
      <x:c r="C121" s="88" t="n">
        <x:f>MAX(0,MIN(100,SUM(AB121:AG121)-AH121))</x:f>
        <x:v>68</x:v>
      </x:c>
      <x:c r="D121" s="62" t="str">
        <x:v>ABC — Hurtownia papierosów, Z. Bonkowski</x:v>
      </x:c>
      <x:c r="E121" s="62" t="str">
        <x:v>Potencjalny reseller / odbiorca hurtowy</x:v>
      </x:c>
      <x:c r="F121" s="62" t="str">
        <x:v>S2 — Hurtownie tytoniowe/FMCG</x:v>
      </x:c>
      <x:c r="G121" s="62" t="str">
        <x:v>Hurt B2B regionalny</x:v>
      </x:c>
      <x:c r="H121" s="62" t="str">
        <x:v>Pomorskie</x:v>
      </x:c>
      <x:c r="I121" s="62" t="str">
        <x:v>Kościerzyna</x:v>
      </x:c>
      <x:c r="J121" s="62" t="str">
        <x:v>Mały–średni</x:v>
      </x:c>
      <x:c r="K121" s="62" t="str"/>
      <x:c r="L121" s="62" t="str">
        <x:v>+48 58 686 33 02</x:v>
      </x:c>
      <x:c r="M121" s="62" t="str"/>
      <x:c r="N121" s="62" t="str"/>
      <x:c r="O121" s="62" t="str"/>
      <x:c r="P121" s="62" t="str">
        <x:v>Rynek 8, Kościerzyna</x:v>
      </x:c>
      <x:c r="Q121" s="62" t="str"/>
      <x:c r="R121" s="62" t="str"/>
      <x:c r="S121" s="62" t="str">
        <x:v>Papierosy | Wyroby tytoniowe | Tytoń</x:v>
      </x:c>
      <x:c r="T121" s="62" t="str">
        <x:f>IF(AND(K121&lt;&gt;"",L121&lt;&gt;"",O121&lt;&gt;""),"Pełny",IF(OR(K121&lt;&gt;"",L121&lt;&gt;""),"Częściowy","Brak bezpośredniego kontaktu"))</x:f>
        <x:v>Częściowy</x:v>
      </x:c>
      <x:c r="U121" s="62" t="str">
        <x:v>Nowy</x:v>
      </x:c>
      <x:c r="V121" s="62" t="str">
        <x:v>BILLS — hurt@bills.pl</x:v>
      </x:c>
      <x:c r="W121" s="62" t="str">
        <x:v>Dodać do kampanii regionalnej i wykonać follow-up telefoniczny</x:v>
      </x:c>
      <x:c r="X121" s="81" t="n">
        <x:f>IF(C121&gt;=82,'Model scoringu'!$B$4,IF(C121&gt;=72,'Model scoringu'!$B$5,IF(C121&gt;=58,'Model scoringu'!$B$6,"")))</x:f>
        <x:v>46234</x:v>
      </x:c>
      <x:c r="Y121" s="62" t="str">
        <x:v>Dostęp do sklepów tytoniowych i tradycyjnego handlu.</x:v>
      </x:c>
      <x:c r="Z121" s="62" t="str">
        <x:v>https://www.pkt.pl/szukaj/hurtownia-papierosow</x:v>
      </x:c>
      <x:c r="AA121" s="62" t="str">
        <x:v>Status źródłowy: Do weryfikacji — katalog</x:v>
      </x:c>
      <x:c r="AB121" s="50" t="n">
        <x:v>22</x:v>
      </x:c>
      <x:c r="AC121" s="50" t="n">
        <x:v>15</x:v>
      </x:c>
      <x:c r="AD121" s="50" t="n">
        <x:v>11</x:v>
      </x:c>
      <x:c r="AE121" s="50" t="n">
        <x:v>6</x:v>
      </x:c>
      <x:c r="AF121" s="50" t="n">
        <x:v>10</x:v>
      </x:c>
      <x:c r="AG121" s="50" t="n">
        <x:v>4</x:v>
      </x:c>
      <x:c r="AH121" s="57" t="n">
        <x:v>0</x:v>
      </x:c>
    </x:row>
    <x:row r="122" ht="34" customHeight="1">
      <x:c r="A122" s="87" t="n">
        <x:v>120</x:v>
      </x:c>
      <x:c r="B122" s="88" t="str">
        <x:f>IF(C122&gt;=82,"A"&amp;1&amp;" — kontakt natychmiast",IF(C122&gt;=72,"A"&amp;2&amp;" — kontakt w 7 dni",IF(C122&gt;=58,"B — kampania regionalna",IF(C122&gt;=42,"C — weryfikacja i nurturing","D — niski priorytet/wykluczyć"))))</x:f>
        <x:v>B — kampania regionalna</x:v>
      </x:c>
      <x:c r="C122" s="88" t="n">
        <x:f>MAX(0,MIN(100,SUM(AB122:AG122)-AH122))</x:f>
        <x:v>68</x:v>
      </x:c>
      <x:c r="D122" s="62" t="str">
        <x:v>sstrzelec (Allegro)</x:v>
      </x:c>
      <x:c r="E122" s="62" t="str">
        <x:v>Potencjalny reseller / odbiorca hurtowy</x:v>
      </x:c>
      <x:c r="F122" s="62" t="str">
        <x:v>S1 — RYO/MYO, gilzy i nabijarki</x:v>
      </x:c>
      <x:c r="G122" s="62" t="str">
        <x:v>Marketplace/sprzedawca online</x:v>
      </x:c>
      <x:c r="H122" s="62" t="str">
        <x:v>Nieustalony</x:v>
      </x:c>
      <x:c r="I122" s="62" t="str"/>
      <x:c r="J122" s="62" t="str">
        <x:v>Nieustalona</x:v>
      </x:c>
      <x:c r="K122" s="62" t="str"/>
      <x:c r="L122" s="62" t="str"/>
      <x:c r="M122" s="62" t="str"/>
      <x:c r="N122" s="62" t="str"/>
      <x:c r="O122" s="62" t="str">
        <x:v>https://allegro.pl/uzytkownik/sstrzelec</x:v>
      </x:c>
      <x:c r="P122" s="62" t="str">
        <x:v>Polska (Sprzedawca Allegro)</x:v>
      </x:c>
      <x:c r="Q122" s="62" t="str"/>
      <x:c r="R122" s="62" t="str"/>
      <x:c r="S122" s="62" t="str">
        <x:v>Akcesoria Tytoniowe | Nabijarki &amp; Zwijarki | Tytoń | Hurt | Sprzedawca B2C</x:v>
      </x:c>
      <x:c r="T122" s="62" t="str">
        <x:f>IF(AND(K122&lt;&gt;"",L122&lt;&gt;"",O122&lt;&gt;""),"Pełny",IF(OR(K122&lt;&gt;"",L122&lt;&gt;""),"Częściowy","Brak bezpośredniego kontaktu"))</x:f>
        <x:v>Brak bezpośredniego kontaktu</x:v>
      </x:c>
      <x:c r="U122" s="62" t="str">
        <x:v>Nowy</x:v>
      </x:c>
      <x:c r="V122" s="62" t="str">
        <x:v>BILLS — hurt@bills.pl</x:v>
      </x:c>
      <x:c r="W122" s="62" t="str">
        <x:v>Dodać do kampanii regionalnej i wykonać follow-up telefoniczny</x:v>
      </x:c>
      <x:c r="X122" s="81" t="n">
        <x:f>IF(C122&gt;=82,'Model scoringu'!$B$4,IF(C122&gt;=72,'Model scoringu'!$B$5,IF(C122&gt;=58,'Model scoringu'!$B$6,"")))</x:f>
        <x:v>46234</x:v>
      </x:c>
      <x:c r="Y122" s="62" t="str">
        <x:v>Bezpośrednie dopasowanie do ryo/myo, gilz lub nabijarek.</x:v>
      </x:c>
      <x:c r="Z122" s="62" t="str">
        <x:v>https://allegro.pl/uzytkownik/sstrzelec</x:v>
      </x:c>
      <x:c r="AA122" s="62" t="str">
        <x:v>Status źródłowy: Aktywny</x:v>
      </x:c>
      <x:c r="AB122" s="50" t="n">
        <x:v>30</x:v>
      </x:c>
      <x:c r="AC122" s="50" t="n">
        <x:v>9</x:v>
      </x:c>
      <x:c r="AD122" s="50" t="n">
        <x:v>7</x:v>
      </x:c>
      <x:c r="AE122" s="50" t="n">
        <x:v>5</x:v>
      </x:c>
      <x:c r="AF122" s="50" t="n">
        <x:v>10</x:v>
      </x:c>
      <x:c r="AG122" s="50" t="n">
        <x:v>7</x:v>
      </x:c>
      <x:c r="AH122" s="57" t="n">
        <x:v>0</x:v>
      </x:c>
    </x:row>
    <x:row r="123" ht="34" customHeight="1">
      <x:c r="A123" s="87" t="n">
        <x:v>121</x:v>
      </x:c>
      <x:c r="B123" s="88" t="str">
        <x:f>IF(C123&gt;=82,"A"&amp;1&amp;" — kontakt natychmiast",IF(C123&gt;=72,"A"&amp;2&amp;" — kontakt w 7 dni",IF(C123&gt;=58,"B — kampania regionalna",IF(C123&gt;=42,"C — weryfikacja i nurturing","D — niski priorytet/wykluczyć"))))</x:f>
        <x:v>B — kampania regionalna</x:v>
      </x:c>
      <x:c r="C123" s="88" t="n">
        <x:f>MAX(0,MIN(100,SUM(AB123:AG123)-AH123))</x:f>
        <x:v>68</x:v>
      </x:c>
      <x:c r="D123" s="62" t="str">
        <x:v>Mewa Hurtownia Marciniak Jerzy</x:v>
      </x:c>
      <x:c r="E123" s="62" t="str">
        <x:v>Potencjalny reseller / odbiorca hurtowy</x:v>
      </x:c>
      <x:c r="F123" s="62" t="str">
        <x:v>S2 — Hurtownie tytoniowe/FMCG</x:v>
      </x:c>
      <x:c r="G123" s="62" t="str">
        <x:v>Hurt B2B + detal</x:v>
      </x:c>
      <x:c r="H123" s="62" t="str">
        <x:v>Mazowieckie</x:v>
      </x:c>
      <x:c r="I123" s="62" t="str">
        <x:v>Mińsk Mazowiecki</x:v>
      </x:c>
      <x:c r="J123" s="62" t="str">
        <x:v>Średni</x:v>
      </x:c>
      <x:c r="K123" s="62" t="str"/>
      <x:c r="L123" s="62" t="str"/>
      <x:c r="M123" s="62" t="str"/>
      <x:c r="N123" s="62" t="str"/>
      <x:c r="O123" s="62" t="str">
        <x:v>https://minskmaz.com/firmy/pap...</x:v>
      </x:c>
      <x:c r="P123" s="62" t="str">
        <x:v>Mińsk Mazowiecki (Chełmońskiego 6)</x:v>
      </x:c>
      <x:c r="Q123" s="62" t="str"/>
      <x:c r="R123" s="62" t="str"/>
      <x:c r="S123" s="62" t="str">
        <x:v>Papierosy | Tytoń | Hurt | Sklep Tytoniowy</x:v>
      </x:c>
      <x:c r="T123" s="62" t="str">
        <x:f>IF(AND(K123&lt;&gt;"",L123&lt;&gt;"",O123&lt;&gt;""),"Pełny",IF(OR(K123&lt;&gt;"",L123&lt;&gt;""),"Częściowy","Brak bezpośredniego kontaktu"))</x:f>
        <x:v>Brak bezpośredniego kontaktu</x:v>
      </x:c>
      <x:c r="U123" s="62" t="str">
        <x:v>Nowy</x:v>
      </x:c>
      <x:c r="V123" s="62" t="str">
        <x:v>BILLS — hurt@bills.pl</x:v>
      </x:c>
      <x:c r="W123" s="62" t="str">
        <x:v>Dodać do kampanii regionalnej i wykonać follow-up telefoniczny</x:v>
      </x:c>
      <x:c r="X123" s="81" t="n">
        <x:f>IF(C123&gt;=82,'Model scoringu'!$B$4,IF(C123&gt;=72,'Model scoringu'!$B$5,IF(C123&gt;=58,'Model scoringu'!$B$6,"")))</x:f>
        <x:v>46234</x:v>
      </x:c>
      <x:c r="Y123" s="62" t="str">
        <x:v>Dostęp do sklepów tytoniowych i tradycyjnego handlu.</x:v>
      </x:c>
      <x:c r="Z123" s="62" t="str">
        <x:v>https://minskmaz.com/firmy/pap...</x:v>
      </x:c>
      <x:c r="AA123" s="62" t="str">
        <x:v>Nie potwierdzone | Status źródłowy: Niezweryfikowany</x:v>
      </x:c>
      <x:c r="AB123" s="50" t="n">
        <x:v>22</x:v>
      </x:c>
      <x:c r="AC123" s="50" t="n">
        <x:v>15</x:v>
      </x:c>
      <x:c r="AD123" s="50" t="n">
        <x:v>11</x:v>
      </x:c>
      <x:c r="AE123" s="50" t="n">
        <x:v>5</x:v>
      </x:c>
      <x:c r="AF123" s="50" t="n">
        <x:v>10</x:v>
      </x:c>
      <x:c r="AG123" s="50" t="n">
        <x:v>10</x:v>
      </x:c>
      <x:c r="AH123" s="57" t="n">
        <x:v>5</x:v>
      </x:c>
    </x:row>
    <x:row r="124" ht="34" customHeight="1">
      <x:c r="A124" s="87" t="n">
        <x:v>122</x:v>
      </x:c>
      <x:c r="B124" s="88" t="str">
        <x:f>IF(C124&gt;=82,"A"&amp;1&amp;" — kontakt natychmiast",IF(C124&gt;=72,"A"&amp;2&amp;" — kontakt w 7 dni",IF(C124&gt;=58,"B — kampania regionalna",IF(C124&gt;=42,"C — weryfikacja i nurturing","D — niski priorytet/wykluczyć"))))</x:f>
        <x:v>B — kampania regionalna</x:v>
      </x:c>
      <x:c r="C124" s="88" t="n">
        <x:f>MAX(0,MIN(100,SUM(AB124:AG124)-AH124))</x:f>
        <x:v>68</x:v>
      </x:c>
      <x:c r="D124" s="62" t="str">
        <x:v>KDWT S.A.</x:v>
      </x:c>
      <x:c r="E124" s="62" t="str">
        <x:v>Potencjalny reseller / odbiorca hurtowy</x:v>
      </x:c>
      <x:c r="F124" s="62" t="str">
        <x:v>S2 — Hurtownie tytoniowe/FMCG</x:v>
      </x:c>
      <x:c r="G124" s="62" t="str">
        <x:v>Hurt B2B + detal</x:v>
      </x:c>
      <x:c r="H124" s="62" t="str">
        <x:v>Opolskie</x:v>
      </x:c>
      <x:c r="I124" s="62" t="str">
        <x:v>Opole</x:v>
      </x:c>
      <x:c r="J124" s="62" t="str">
        <x:v>Średni</x:v>
      </x:c>
      <x:c r="K124" s="62" t="str"/>
      <x:c r="L124" s="62" t="str"/>
      <x:c r="M124" s="62" t="str"/>
      <x:c r="N124" s="62" t="str"/>
      <x:c r="O124" s="62" t="str">
        <x:v>https://biznesfinder.pl/opole/...</x:v>
      </x:c>
      <x:c r="P124" s="62" t="str">
        <x:v>Opole</x:v>
      </x:c>
      <x:c r="Q124" s="62" t="str"/>
      <x:c r="R124" s="62" t="str"/>
      <x:c r="S124" s="62" t="str">
        <x:v>Tytoń | Hurt | Sklep Tytoniowy</x:v>
      </x:c>
      <x:c r="T124" s="62" t="str">
        <x:f>IF(AND(K124&lt;&gt;"",L124&lt;&gt;"",O124&lt;&gt;""),"Pełny",IF(OR(K124&lt;&gt;"",L124&lt;&gt;""),"Częściowy","Brak bezpośredniego kontaktu"))</x:f>
        <x:v>Brak bezpośredniego kontaktu</x:v>
      </x:c>
      <x:c r="U124" s="62" t="str">
        <x:v>Nowy</x:v>
      </x:c>
      <x:c r="V124" s="62" t="str">
        <x:v>BILLS — hurt@bills.pl</x:v>
      </x:c>
      <x:c r="W124" s="62" t="str">
        <x:v>Dodać do kampanii regionalnej i wykonać follow-up telefoniczny</x:v>
      </x:c>
      <x:c r="X124" s="81" t="n">
        <x:f>IF(C124&gt;=82,'Model scoringu'!$B$4,IF(C124&gt;=72,'Model scoringu'!$B$5,IF(C124&gt;=58,'Model scoringu'!$B$6,"")))</x:f>
        <x:v>46234</x:v>
      </x:c>
      <x:c r="Y124" s="62" t="str">
        <x:v>Dostęp do sklepów tytoniowych i tradycyjnego handlu.</x:v>
      </x:c>
      <x:c r="Z124" s="62" t="str">
        <x:v>https://biznesfinder.pl/opole/...</x:v>
      </x:c>
      <x:c r="AA124" s="62" t="str">
        <x:v>Nie potwierdzone | Status źródłowy: Niezweryfikowany</x:v>
      </x:c>
      <x:c r="AB124" s="50" t="n">
        <x:v>22</x:v>
      </x:c>
      <x:c r="AC124" s="50" t="n">
        <x:v>15</x:v>
      </x:c>
      <x:c r="AD124" s="50" t="n">
        <x:v>11</x:v>
      </x:c>
      <x:c r="AE124" s="50" t="n">
        <x:v>5</x:v>
      </x:c>
      <x:c r="AF124" s="50" t="n">
        <x:v>10</x:v>
      </x:c>
      <x:c r="AG124" s="50" t="n">
        <x:v>10</x:v>
      </x:c>
      <x:c r="AH124" s="57" t="n">
        <x:v>5</x:v>
      </x:c>
    </x:row>
    <x:row r="125" ht="34" customHeight="1">
      <x:c r="A125" s="87" t="n">
        <x:v>123</x:v>
      </x:c>
      <x:c r="B125" s="88" t="str">
        <x:f>IF(C125&gt;=82,"A"&amp;1&amp;" — kontakt natychmiast",IF(C125&gt;=72,"A"&amp;2&amp;" — kontakt w 7 dni",IF(C125&gt;=58,"B — kampania regionalna",IF(C125&gt;=42,"C — weryfikacja i nurturing","D — niski priorytet/wykluczyć"))))</x:f>
        <x:v>B — kampania regionalna</x:v>
      </x:c>
      <x:c r="C125" s="88" t="n">
        <x:f>MAX(0,MIN(100,SUM(AB125:AG125)-AH125))</x:f>
        <x:v>68</x:v>
      </x:c>
      <x:c r="D125" s="62" t="str">
        <x:v>JAR — Hurtownia Papierosów i Chemii Gospodarczej</x:v>
      </x:c>
      <x:c r="E125" s="62" t="str">
        <x:v>Potencjalny reseller / odbiorca hurtowy</x:v>
      </x:c>
      <x:c r="F125" s="62" t="str">
        <x:v>S2 — Hurtownie tytoniowe/FMCG</x:v>
      </x:c>
      <x:c r="G125" s="62" t="str">
        <x:v>Hurt B2B + detal</x:v>
      </x:c>
      <x:c r="H125" s="62" t="str">
        <x:v>Lubelskie</x:v>
      </x:c>
      <x:c r="I125" s="62" t="str">
        <x:v>Lublin</x:v>
      </x:c>
      <x:c r="J125" s="62" t="str">
        <x:v>Średni</x:v>
      </x:c>
      <x:c r="K125" s="62" t="str"/>
      <x:c r="L125" s="62" t="str"/>
      <x:c r="M125" s="62" t="str"/>
      <x:c r="N125" s="62" t="str"/>
      <x:c r="O125" s="62" t="str">
        <x:v>https://w-lubelskie.pl/jar-hur...</x:v>
      </x:c>
      <x:c r="P125" s="62" t="str">
        <x:v>Lublin (Zamenhofa 125 / Gazowa 9)</x:v>
      </x:c>
      <x:c r="Q125" s="62" t="str"/>
      <x:c r="R125" s="62" t="str"/>
      <x:c r="S125" s="62" t="str">
        <x:v>FMCG | Papierosy | Tytoń | Hurt | Sklep Tytoniowy</x:v>
      </x:c>
      <x:c r="T125" s="62" t="str">
        <x:f>IF(AND(K125&lt;&gt;"",L125&lt;&gt;"",O125&lt;&gt;""),"Pełny",IF(OR(K125&lt;&gt;"",L125&lt;&gt;""),"Częściowy","Brak bezpośredniego kontaktu"))</x:f>
        <x:v>Brak bezpośredniego kontaktu</x:v>
      </x:c>
      <x:c r="U125" s="62" t="str">
        <x:v>Nowy</x:v>
      </x:c>
      <x:c r="V125" s="62" t="str">
        <x:v>BILLS — hurt@bills.pl</x:v>
      </x:c>
      <x:c r="W125" s="62" t="str">
        <x:v>Dodać do kampanii regionalnej i wykonać follow-up telefoniczny</x:v>
      </x:c>
      <x:c r="X125" s="81" t="n">
        <x:f>IF(C125&gt;=82,'Model scoringu'!$B$4,IF(C125&gt;=72,'Model scoringu'!$B$5,IF(C125&gt;=58,'Model scoringu'!$B$6,"")))</x:f>
        <x:v>46234</x:v>
      </x:c>
      <x:c r="Y125" s="62" t="str">
        <x:v>Dostęp do sklepów tytoniowych i tradycyjnego handlu.</x:v>
      </x:c>
      <x:c r="Z125" s="62" t="str">
        <x:v>https://w-lubelskie.pl/jar-hur...</x:v>
      </x:c>
      <x:c r="AA125" s="62" t="str">
        <x:v>Nie potwierdzone | Status źródłowy: Niezweryfikowany</x:v>
      </x:c>
      <x:c r="AB125" s="50" t="n">
        <x:v>22</x:v>
      </x:c>
      <x:c r="AC125" s="50" t="n">
        <x:v>15</x:v>
      </x:c>
      <x:c r="AD125" s="50" t="n">
        <x:v>11</x:v>
      </x:c>
      <x:c r="AE125" s="50" t="n">
        <x:v>5</x:v>
      </x:c>
      <x:c r="AF125" s="50" t="n">
        <x:v>10</x:v>
      </x:c>
      <x:c r="AG125" s="50" t="n">
        <x:v>10</x:v>
      </x:c>
      <x:c r="AH125" s="57" t="n">
        <x:v>5</x:v>
      </x:c>
    </x:row>
    <x:row r="126" ht="34" customHeight="1">
      <x:c r="A126" s="87" t="n">
        <x:v>124</x:v>
      </x:c>
      <x:c r="B126" s="88" t="str">
        <x:f>IF(C126&gt;=82,"A"&amp;1&amp;" — kontakt natychmiast",IF(C126&gt;=72,"A"&amp;2&amp;" — kontakt w 7 dni",IF(C126&gt;=58,"B — kampania regionalna",IF(C126&gt;=42,"C — weryfikacja i nurturing","D — niski priorytet/wykluczyć"))))</x:f>
        <x:v>B — kampania regionalna</x:v>
      </x:c>
      <x:c r="C126" s="88" t="n">
        <x:f>MAX(0,MIN(100,SUM(AB126:AG126)-AH126))</x:f>
        <x:v>68</x:v>
      </x:c>
      <x:c r="D126" s="62" t="str">
        <x:v>Irba — Zakład Obrotu Towarowego</x:v>
      </x:c>
      <x:c r="E126" s="62" t="str">
        <x:v>Potencjalny reseller / odbiorca hurtowy</x:v>
      </x:c>
      <x:c r="F126" s="62" t="str">
        <x:v>S2 — Hurtownie tytoniowe/FMCG</x:v>
      </x:c>
      <x:c r="G126" s="62" t="str">
        <x:v>Hurt B2B + detal</x:v>
      </x:c>
      <x:c r="H126" s="62" t="str">
        <x:v>Dolnośląskie</x:v>
      </x:c>
      <x:c r="I126" s="62" t="str">
        <x:v>Jelenia Góra</x:v>
      </x:c>
      <x:c r="J126" s="62" t="str">
        <x:v>Średni</x:v>
      </x:c>
      <x:c r="K126" s="62" t="str"/>
      <x:c r="L126" s="62" t="str"/>
      <x:c r="M126" s="62" t="str"/>
      <x:c r="N126" s="62" t="str"/>
      <x:c r="O126" s="62" t="str">
        <x:v>https://gowork.pl/dyl-jaroslaw...</x:v>
      </x:c>
      <x:c r="P126" s="62" t="str">
        <x:v>Jelenia Góra (serves Głogów, Bolesławiec, Zgorzelec, Kłodzko)</x:v>
      </x:c>
      <x:c r="Q126" s="62" t="str"/>
      <x:c r="R126" s="62" t="str"/>
      <x:c r="S126" s="62" t="str">
        <x:v>Papierosy | Tytoń | Hurt | Sklep Tytoniowy</x:v>
      </x:c>
      <x:c r="T126" s="62" t="str">
        <x:f>IF(AND(K126&lt;&gt;"",L126&lt;&gt;"",O126&lt;&gt;""),"Pełny",IF(OR(K126&lt;&gt;"",L126&lt;&gt;""),"Częściowy","Brak bezpośredniego kontaktu"))</x:f>
        <x:v>Brak bezpośredniego kontaktu</x:v>
      </x:c>
      <x:c r="U126" s="62" t="str">
        <x:v>Nowy</x:v>
      </x:c>
      <x:c r="V126" s="62" t="str">
        <x:v>BILLS — hurt@bills.pl</x:v>
      </x:c>
      <x:c r="W126" s="62" t="str">
        <x:v>Dodać do kampanii regionalnej i wykonać follow-up telefoniczny</x:v>
      </x:c>
      <x:c r="X126" s="81" t="n">
        <x:f>IF(C126&gt;=82,'Model scoringu'!$B$4,IF(C126&gt;=72,'Model scoringu'!$B$5,IF(C126&gt;=58,'Model scoringu'!$B$6,"")))</x:f>
        <x:v>46234</x:v>
      </x:c>
      <x:c r="Y126" s="62" t="str">
        <x:v>Dostęp do sklepów tytoniowych i tradycyjnego handlu.</x:v>
      </x:c>
      <x:c r="Z126" s="62" t="str">
        <x:v>https://gowork.pl/dyl-jaroslaw...</x:v>
      </x:c>
      <x:c r="AA126" s="62" t="str">
        <x:v>Nie potwierdzone | Status źródłowy: Niezweryfikowany</x:v>
      </x:c>
      <x:c r="AB126" s="50" t="n">
        <x:v>22</x:v>
      </x:c>
      <x:c r="AC126" s="50" t="n">
        <x:v>15</x:v>
      </x:c>
      <x:c r="AD126" s="50" t="n">
        <x:v>11</x:v>
      </x:c>
      <x:c r="AE126" s="50" t="n">
        <x:v>5</x:v>
      </x:c>
      <x:c r="AF126" s="50" t="n">
        <x:v>10</x:v>
      </x:c>
      <x:c r="AG126" s="50" t="n">
        <x:v>10</x:v>
      </x:c>
      <x:c r="AH126" s="57" t="n">
        <x:v>5</x:v>
      </x:c>
    </x:row>
    <x:row r="127" ht="34" customHeight="1">
      <x:c r="A127" s="87" t="n">
        <x:v>125</x:v>
      </x:c>
      <x:c r="B127" s="88" t="str">
        <x:f>IF(C127&gt;=82,"A"&amp;1&amp;" — kontakt natychmiast",IF(C127&gt;=72,"A"&amp;2&amp;" — kontakt w 7 dni",IF(C127&gt;=58,"B — kampania regionalna",IF(C127&gt;=42,"C — weryfikacja i nurturing","D — niski priorytet/wykluczyć"))))</x:f>
        <x:v>B — kampania regionalna</x:v>
      </x:c>
      <x:c r="C127" s="88" t="n">
        <x:f>MAX(0,MIN(100,SUM(AB127:AG127)-AH127))</x:f>
        <x:v>68</x:v>
      </x:c>
      <x:c r="D127" s="62" t="str">
        <x:v>Hurtownia Papierosów Mars</x:v>
      </x:c>
      <x:c r="E127" s="62" t="str">
        <x:v>Potencjalny reseller / odbiorca hurtowy</x:v>
      </x:c>
      <x:c r="F127" s="62" t="str">
        <x:v>S2 — Hurtownie tytoniowe/FMCG</x:v>
      </x:c>
      <x:c r="G127" s="62" t="str">
        <x:v>Hurt B2B + detal</x:v>
      </x:c>
      <x:c r="H127" s="62" t="str">
        <x:v>Lubelskie</x:v>
      </x:c>
      <x:c r="I127" s="62" t="str">
        <x:v>Lublin</x:v>
      </x:c>
      <x:c r="J127" s="62" t="str">
        <x:v>Średni</x:v>
      </x:c>
      <x:c r="K127" s="62" t="str"/>
      <x:c r="L127" s="62" t="str"/>
      <x:c r="M127" s="62" t="str"/>
      <x:c r="N127" s="62" t="str"/>
      <x:c r="O127" s="62" t="str">
        <x:v>https://yelp.com/biz/hurtownia...</x:v>
      </x:c>
      <x:c r="P127" s="62" t="str">
        <x:v>Lublin (Namysłowskiego 41)</x:v>
      </x:c>
      <x:c r="Q127" s="62" t="str"/>
      <x:c r="R127" s="62" t="str"/>
      <x:c r="S127" s="62" t="str">
        <x:v>Papierosy | Tytoń | Hurt | Sklep Tytoniowy</x:v>
      </x:c>
      <x:c r="T127" s="62" t="str">
        <x:f>IF(AND(K127&lt;&gt;"",L127&lt;&gt;"",O127&lt;&gt;""),"Pełny",IF(OR(K127&lt;&gt;"",L127&lt;&gt;""),"Częściowy","Brak bezpośredniego kontaktu"))</x:f>
        <x:v>Brak bezpośredniego kontaktu</x:v>
      </x:c>
      <x:c r="U127" s="62" t="str">
        <x:v>Nowy</x:v>
      </x:c>
      <x:c r="V127" s="62" t="str">
        <x:v>BILLS — hurt@bills.pl</x:v>
      </x:c>
      <x:c r="W127" s="62" t="str">
        <x:v>Dodać do kampanii regionalnej i wykonać follow-up telefoniczny</x:v>
      </x:c>
      <x:c r="X127" s="81" t="n">
        <x:f>IF(C127&gt;=82,'Model scoringu'!$B$4,IF(C127&gt;=72,'Model scoringu'!$B$5,IF(C127&gt;=58,'Model scoringu'!$B$6,"")))</x:f>
        <x:v>46234</x:v>
      </x:c>
      <x:c r="Y127" s="62" t="str">
        <x:v>Dostęp do sklepów tytoniowych i tradycyjnego handlu.</x:v>
      </x:c>
      <x:c r="Z127" s="62" t="str">
        <x:v>https://yelp.com/biz/hurtownia...</x:v>
      </x:c>
      <x:c r="AA127" s="62" t="str">
        <x:v>Nie potwierdzone | Status źródłowy: Niezweryfikowany</x:v>
      </x:c>
      <x:c r="AB127" s="50" t="n">
        <x:v>22</x:v>
      </x:c>
      <x:c r="AC127" s="50" t="n">
        <x:v>15</x:v>
      </x:c>
      <x:c r="AD127" s="50" t="n">
        <x:v>11</x:v>
      </x:c>
      <x:c r="AE127" s="50" t="n">
        <x:v>5</x:v>
      </x:c>
      <x:c r="AF127" s="50" t="n">
        <x:v>10</x:v>
      </x:c>
      <x:c r="AG127" s="50" t="n">
        <x:v>10</x:v>
      </x:c>
      <x:c r="AH127" s="57" t="n">
        <x:v>5</x:v>
      </x:c>
    </x:row>
    <x:row r="128" ht="34" customHeight="1">
      <x:c r="A128" s="87" t="n">
        <x:v>126</x:v>
      </x:c>
      <x:c r="B128" s="88" t="str">
        <x:f>IF(C128&gt;=82,"A"&amp;1&amp;" — kontakt natychmiast",IF(C128&gt;=72,"A"&amp;2&amp;" — kontakt w 7 dni",IF(C128&gt;=58,"B — kampania regionalna",IF(C128&gt;=42,"C — weryfikacja i nurturing","D — niski priorytet/wykluczyć"))))</x:f>
        <x:v>B — kampania regionalna</x:v>
      </x:c>
      <x:c r="C128" s="88" t="n">
        <x:f>MAX(0,MIN(100,SUM(AB128:AG128)-AH128))</x:f>
        <x:v>68</x:v>
      </x:c>
      <x:c r="D128" s="62" t="str">
        <x:v>Dymek — Hurtownia Papierosów</x:v>
      </x:c>
      <x:c r="E128" s="62" t="str">
        <x:v>Potencjalny reseller / odbiorca hurtowy</x:v>
      </x:c>
      <x:c r="F128" s="62" t="str">
        <x:v>S2 — Hurtownie tytoniowe/FMCG</x:v>
      </x:c>
      <x:c r="G128" s="62" t="str">
        <x:v>Hurt B2B + detal</x:v>
      </x:c>
      <x:c r="H128" s="62" t="str">
        <x:v>Małopolskie</x:v>
      </x:c>
      <x:c r="I128" s="62" t="str">
        <x:v>Kraków</x:v>
      </x:c>
      <x:c r="J128" s="62" t="str">
        <x:v>Średni</x:v>
      </x:c>
      <x:c r="K128" s="62" t="str"/>
      <x:c r="L128" s="62" t="str"/>
      <x:c r="M128" s="62" t="str"/>
      <x:c r="N128" s="62" t="str"/>
      <x:c r="O128" s="62" t="str">
        <x:v>https://dymek.com.pl</x:v>
      </x:c>
      <x:c r="P128" s="62" t="str">
        <x:v>Kraków</x:v>
      </x:c>
      <x:c r="Q128" s="62" t="str"/>
      <x:c r="R128" s="62" t="str"/>
      <x:c r="S128" s="62" t="str">
        <x:v>FMCG | Papierosy | Tytoń | Hurt | Sklep Tytoniowy</x:v>
      </x:c>
      <x:c r="T128" s="62" t="str">
        <x:f>IF(AND(K128&lt;&gt;"",L128&lt;&gt;"",O128&lt;&gt;""),"Pełny",IF(OR(K128&lt;&gt;"",L128&lt;&gt;""),"Częściowy","Brak bezpośredniego kontaktu"))</x:f>
        <x:v>Brak bezpośredniego kontaktu</x:v>
      </x:c>
      <x:c r="U128" s="62" t="str">
        <x:v>Nowy</x:v>
      </x:c>
      <x:c r="V128" s="62" t="str">
        <x:v>BILLS — hurt@bills.pl</x:v>
      </x:c>
      <x:c r="W128" s="62" t="str">
        <x:v>Dodać do kampanii regionalnej i wykonać follow-up telefoniczny</x:v>
      </x:c>
      <x:c r="X128" s="81" t="n">
        <x:f>IF(C128&gt;=82,'Model scoringu'!$B$4,IF(C128&gt;=72,'Model scoringu'!$B$5,IF(C128&gt;=58,'Model scoringu'!$B$6,"")))</x:f>
        <x:v>46234</x:v>
      </x:c>
      <x:c r="Y128" s="62" t="str">
        <x:v>Dostęp do sklepów tytoniowych i tradycyjnego handlu.</x:v>
      </x:c>
      <x:c r="Z128" s="62" t="str">
        <x:v>https://dymek.com.pl</x:v>
      </x:c>
      <x:c r="AA128" s="62" t="str">
        <x:v>Nie potwierdzone | Status źródłowy: Niezweryfikowany</x:v>
      </x:c>
      <x:c r="AB128" s="50" t="n">
        <x:v>22</x:v>
      </x:c>
      <x:c r="AC128" s="50" t="n">
        <x:v>15</x:v>
      </x:c>
      <x:c r="AD128" s="50" t="n">
        <x:v>11</x:v>
      </x:c>
      <x:c r="AE128" s="50" t="n">
        <x:v>5</x:v>
      </x:c>
      <x:c r="AF128" s="50" t="n">
        <x:v>10</x:v>
      </x:c>
      <x:c r="AG128" s="50" t="n">
        <x:v>10</x:v>
      </x:c>
      <x:c r="AH128" s="57" t="n">
        <x:v>5</x:v>
      </x:c>
    </x:row>
    <x:row r="129" ht="34" customHeight="1">
      <x:c r="A129" s="87" t="n">
        <x:v>127</x:v>
      </x:c>
      <x:c r="B129" s="88" t="str">
        <x:f>IF(C129&gt;=82,"A"&amp;1&amp;" — kontakt natychmiast",IF(C129&gt;=72,"A"&amp;2&amp;" — kontakt w 7 dni",IF(C129&gt;=58,"B — kampania regionalna",IF(C129&gt;=42,"C — weryfikacja i nurturing","D — niski priorytet/wykluczyć"))))</x:f>
        <x:v>B — kampania regionalna</x:v>
      </x:c>
      <x:c r="C129" s="88" t="n">
        <x:f>MAX(0,MIN(100,SUM(AB129:AG129)-AH129))</x:f>
        <x:v>68</x:v>
      </x:c>
      <x:c r="D129" s="62" t="str">
        <x:v>Czechomax</x:v>
      </x:c>
      <x:c r="E129" s="62" t="str">
        <x:v>Potencjalny reseller / odbiorca hurtowy</x:v>
      </x:c>
      <x:c r="F129" s="62" t="str">
        <x:v>S2 — Hurtownie tytoniowe/FMCG</x:v>
      </x:c>
      <x:c r="G129" s="62" t="str">
        <x:v>Hurt B2B + detal</x:v>
      </x:c>
      <x:c r="H129" s="62" t="str">
        <x:v>Dolnośląskie</x:v>
      </x:c>
      <x:c r="I129" s="62" t="str">
        <x:v>Wrocław</x:v>
      </x:c>
      <x:c r="J129" s="62" t="str">
        <x:v>Średni</x:v>
      </x:c>
      <x:c r="K129" s="62" t="str"/>
      <x:c r="L129" s="62" t="str"/>
      <x:c r="M129" s="62" t="str"/>
      <x:c r="N129" s="62" t="str"/>
      <x:c r="O129" s="62" t="str">
        <x:v>https://czechomax.pl</x:v>
      </x:c>
      <x:c r="P129" s="62" t="str">
        <x:v>Wrocław</x:v>
      </x:c>
      <x:c r="Q129" s="62" t="str"/>
      <x:c r="R129" s="62" t="str"/>
      <x:c r="S129" s="62" t="str">
        <x:v>FMCG | Tytoń | Hurt | Sklep Tytoniowy</x:v>
      </x:c>
      <x:c r="T129" s="62" t="str">
        <x:f>IF(AND(K129&lt;&gt;"",L129&lt;&gt;"",O129&lt;&gt;""),"Pełny",IF(OR(K129&lt;&gt;"",L129&lt;&gt;""),"Częściowy","Brak bezpośredniego kontaktu"))</x:f>
        <x:v>Brak bezpośredniego kontaktu</x:v>
      </x:c>
      <x:c r="U129" s="62" t="str">
        <x:v>Nowy</x:v>
      </x:c>
      <x:c r="V129" s="62" t="str">
        <x:v>BILLS — hurt@bills.pl</x:v>
      </x:c>
      <x:c r="W129" s="62" t="str">
        <x:v>Dodać do kampanii regionalnej i wykonać follow-up telefoniczny</x:v>
      </x:c>
      <x:c r="X129" s="81" t="n">
        <x:f>IF(C129&gt;=82,'Model scoringu'!$B$4,IF(C129&gt;=72,'Model scoringu'!$B$5,IF(C129&gt;=58,'Model scoringu'!$B$6,"")))</x:f>
        <x:v>46234</x:v>
      </x:c>
      <x:c r="Y129" s="62" t="str">
        <x:v>Dostęp do sklepów tytoniowych i tradycyjnego handlu.</x:v>
      </x:c>
      <x:c r="Z129" s="62" t="str">
        <x:v>https://czechomax.pl</x:v>
      </x:c>
      <x:c r="AA129" s="62" t="str">
        <x:v>Nie potwierdzone | Status źródłowy: Niezweryfikowany</x:v>
      </x:c>
      <x:c r="AB129" s="50" t="n">
        <x:v>22</x:v>
      </x:c>
      <x:c r="AC129" s="50" t="n">
        <x:v>15</x:v>
      </x:c>
      <x:c r="AD129" s="50" t="n">
        <x:v>11</x:v>
      </x:c>
      <x:c r="AE129" s="50" t="n">
        <x:v>5</x:v>
      </x:c>
      <x:c r="AF129" s="50" t="n">
        <x:v>10</x:v>
      </x:c>
      <x:c r="AG129" s="50" t="n">
        <x:v>10</x:v>
      </x:c>
      <x:c r="AH129" s="57" t="n">
        <x:v>5</x:v>
      </x:c>
    </x:row>
    <x:row r="130" ht="34" customHeight="1">
      <x:c r="A130" s="87" t="n">
        <x:v>128</x:v>
      </x:c>
      <x:c r="B130" s="88" t="str">
        <x:f>IF(C130&gt;=82,"A"&amp;1&amp;" — kontakt natychmiast",IF(C130&gt;=72,"A"&amp;2&amp;" — kontakt w 7 dni",IF(C130&gt;=58,"B — kampania regionalna",IF(C130&gt;=42,"C — weryfikacja i nurturing","D — niski priorytet/wykluczyć"))))</x:f>
        <x:v>B — kampania regionalna</x:v>
      </x:c>
      <x:c r="C130" s="88" t="n">
        <x:f>MAX(0,MIN(100,SUM(AB130:AG130)-AH130))</x:f>
        <x:v>68</x:v>
      </x:c>
      <x:c r="D130" s="62" t="str">
        <x:v>BESTMAR — Hurtownia Wielobranżowa</x:v>
      </x:c>
      <x:c r="E130" s="62" t="str">
        <x:v>Potencjalny reseller / odbiorca hurtowy</x:v>
      </x:c>
      <x:c r="F130" s="62" t="str">
        <x:v>S2 — Hurtownie tytoniowe/FMCG</x:v>
      </x:c>
      <x:c r="G130" s="62" t="str">
        <x:v>Hurt B2B + detal</x:v>
      </x:c>
      <x:c r="H130" s="62" t="str">
        <x:v>Podkarpackie</x:v>
      </x:c>
      <x:c r="I130" s="62" t="str">
        <x:v>Rzeszów</x:v>
      </x:c>
      <x:c r="J130" s="62" t="str">
        <x:v>Średni</x:v>
      </x:c>
      <x:c r="K130" s="62" t="str"/>
      <x:c r="L130" s="62" t="str"/>
      <x:c r="M130" s="62" t="str"/>
      <x:c r="N130" s="62" t="str"/>
      <x:c r="O130" s="62" t="str">
        <x:v>https://agrohurtsa.pl/kontrahe...</x:v>
      </x:c>
      <x:c r="P130" s="62" t="str">
        <x:v>Rzeszów (Wspólna 4)</x:v>
      </x:c>
      <x:c r="Q130" s="62" t="str"/>
      <x:c r="R130" s="62" t="str"/>
      <x:c r="S130" s="62" t="str">
        <x:v>Papierosy | Hurt | Sklep Tytoniowy</x:v>
      </x:c>
      <x:c r="T130" s="62" t="str">
        <x:f>IF(AND(K130&lt;&gt;"",L130&lt;&gt;"",O130&lt;&gt;""),"Pełny",IF(OR(K130&lt;&gt;"",L130&lt;&gt;""),"Częściowy","Brak bezpośredniego kontaktu"))</x:f>
        <x:v>Brak bezpośredniego kontaktu</x:v>
      </x:c>
      <x:c r="U130" s="62" t="str">
        <x:v>Nowy</x:v>
      </x:c>
      <x:c r="V130" s="62" t="str">
        <x:v>BILLS — hurt@bills.pl</x:v>
      </x:c>
      <x:c r="W130" s="62" t="str">
        <x:v>Dodać do kampanii regionalnej i wykonać follow-up telefoniczny</x:v>
      </x:c>
      <x:c r="X130" s="81" t="n">
        <x:f>IF(C130&gt;=82,'Model scoringu'!$B$4,IF(C130&gt;=72,'Model scoringu'!$B$5,IF(C130&gt;=58,'Model scoringu'!$B$6,"")))</x:f>
        <x:v>46234</x:v>
      </x:c>
      <x:c r="Y130" s="62" t="str">
        <x:v>Dostęp do sklepów tytoniowych i tradycyjnego handlu.</x:v>
      </x:c>
      <x:c r="Z130" s="62" t="str">
        <x:v>https://agrohurtsa.pl/kontrahe...</x:v>
      </x:c>
      <x:c r="AA130" s="62" t="str">
        <x:v>Nie potwierdzone | Status źródłowy: Niezweryfikowany</x:v>
      </x:c>
      <x:c r="AB130" s="50" t="n">
        <x:v>22</x:v>
      </x:c>
      <x:c r="AC130" s="50" t="n">
        <x:v>15</x:v>
      </x:c>
      <x:c r="AD130" s="50" t="n">
        <x:v>11</x:v>
      </x:c>
      <x:c r="AE130" s="50" t="n">
        <x:v>5</x:v>
      </x:c>
      <x:c r="AF130" s="50" t="n">
        <x:v>10</x:v>
      </x:c>
      <x:c r="AG130" s="50" t="n">
        <x:v>10</x:v>
      </x:c>
      <x:c r="AH130" s="57" t="n">
        <x:v>5</x:v>
      </x:c>
    </x:row>
    <x:row r="131" ht="34" customHeight="1">
      <x:c r="A131" s="87" t="n">
        <x:v>129</x:v>
      </x:c>
      <x:c r="B131" s="88" t="str">
        <x:f>IF(C131&gt;=82,"A"&amp;1&amp;" — kontakt natychmiast",IF(C131&gt;=72,"A"&amp;2&amp;" — kontakt w 7 dni",IF(C131&gt;=58,"B — kampania regionalna",IF(C131&gt;=42,"C — weryfikacja i nurturing","D — niski priorytet/wykluczyć"))))</x:f>
        <x:v>B — kampania regionalna</x:v>
      </x:c>
      <x:c r="C131" s="88" t="n">
        <x:f>MAX(0,MIN(100,SUM(AB131:AG131)-AH131))</x:f>
        <x:v>68</x:v>
      </x:c>
      <x:c r="D131" s="62" t="str">
        <x:v>Artus FHU</x:v>
      </x:c>
      <x:c r="E131" s="62" t="str">
        <x:v>Potencjalny reseller / odbiorca hurtowy</x:v>
      </x:c>
      <x:c r="F131" s="62" t="str">
        <x:v>S2 — Hurtownie tytoniowe/FMCG</x:v>
      </x:c>
      <x:c r="G131" s="62" t="str">
        <x:v>Hurt B2B + detal</x:v>
      </x:c>
      <x:c r="H131" s="62" t="str">
        <x:v>Kujawsko-pomorskie</x:v>
      </x:c>
      <x:c r="I131" s="62" t="str">
        <x:v>Kujawsko-Pomorskie</x:v>
      </x:c>
      <x:c r="J131" s="62" t="str">
        <x:v>Średni</x:v>
      </x:c>
      <x:c r="K131" s="62" t="str"/>
      <x:c r="L131" s="62" t="str"/>
      <x:c r="M131" s="62" t="str"/>
      <x:c r="N131" s="62" t="str"/>
      <x:c r="O131" s="62" t="str">
        <x:v>https://pkt.pl/szukaj/hurtowni...</x:v>
      </x:c>
      <x:c r="P131" s="62" t="str">
        <x:v>Kujawsko-Pomorskie</x:v>
      </x:c>
      <x:c r="Q131" s="62" t="str"/>
      <x:c r="R131" s="62" t="str"/>
      <x:c r="S131" s="62" t="str">
        <x:v>Tytoń | Hurt | Sklep Tytoniowy</x:v>
      </x:c>
      <x:c r="T131" s="62" t="str">
        <x:f>IF(AND(K131&lt;&gt;"",L131&lt;&gt;"",O131&lt;&gt;""),"Pełny",IF(OR(K131&lt;&gt;"",L131&lt;&gt;""),"Częściowy","Brak bezpośredniego kontaktu"))</x:f>
        <x:v>Brak bezpośredniego kontaktu</x:v>
      </x:c>
      <x:c r="U131" s="62" t="str">
        <x:v>Nowy</x:v>
      </x:c>
      <x:c r="V131" s="62" t="str">
        <x:v>BILLS — hurt@bills.pl</x:v>
      </x:c>
      <x:c r="W131" s="62" t="str">
        <x:v>Dodać do kampanii regionalnej i wykonać follow-up telefoniczny</x:v>
      </x:c>
      <x:c r="X131" s="81" t="n">
        <x:f>IF(C131&gt;=82,'Model scoringu'!$B$4,IF(C131&gt;=72,'Model scoringu'!$B$5,IF(C131&gt;=58,'Model scoringu'!$B$6,"")))</x:f>
        <x:v>46234</x:v>
      </x:c>
      <x:c r="Y131" s="62" t="str">
        <x:v>Dostęp do sklepów tytoniowych i tradycyjnego handlu.</x:v>
      </x:c>
      <x:c r="Z131" s="62" t="str">
        <x:v>https://pkt.pl/szukaj/hurtowni...</x:v>
      </x:c>
      <x:c r="AA131" s="62" t="str">
        <x:v>Nie potwierdzone | Status źródłowy: Niezweryfikowany</x:v>
      </x:c>
      <x:c r="AB131" s="50" t="n">
        <x:v>22</x:v>
      </x:c>
      <x:c r="AC131" s="50" t="n">
        <x:v>15</x:v>
      </x:c>
      <x:c r="AD131" s="50" t="n">
        <x:v>11</x:v>
      </x:c>
      <x:c r="AE131" s="50" t="n">
        <x:v>5</x:v>
      </x:c>
      <x:c r="AF131" s="50" t="n">
        <x:v>10</x:v>
      </x:c>
      <x:c r="AG131" s="50" t="n">
        <x:v>10</x:v>
      </x:c>
      <x:c r="AH131" s="57" t="n">
        <x:v>5</x:v>
      </x:c>
    </x:row>
    <x:row r="132" ht="34" customHeight="1">
      <x:c r="A132" s="87" t="n">
        <x:v>130</x:v>
      </x:c>
      <x:c r="B132" s="88" t="str">
        <x:f>IF(C132&gt;=82,"A"&amp;1&amp;" — kontakt natychmiast",IF(C132&gt;=72,"A"&amp;2&amp;" — kontakt w 7 dni",IF(C132&gt;=58,"B — kampania regionalna",IF(C132&gt;=42,"C — weryfikacja i nurturing","D — niski priorytet/wykluczyć"))))</x:f>
        <x:v>B — kampania regionalna</x:v>
      </x:c>
      <x:c r="C132" s="88" t="n">
        <x:f>MAX(0,MIN(100,SUM(AB132:AG132)-AH132))</x:f>
        <x:v>68</x:v>
      </x:c>
      <x:c r="D132" s="62" t="str">
        <x:v>ANIA Sp. z o.o.</x:v>
      </x:c>
      <x:c r="E132" s="62" t="str">
        <x:v>Potencjalny reseller / odbiorca hurtowy</x:v>
      </x:c>
      <x:c r="F132" s="62" t="str">
        <x:v>S2 — Hurtownie tytoniowe/FMCG</x:v>
      </x:c>
      <x:c r="G132" s="62" t="str">
        <x:v>Hurt B2B + detal</x:v>
      </x:c>
      <x:c r="H132" s="62" t="str">
        <x:v>Podkarpackie</x:v>
      </x:c>
      <x:c r="I132" s="62" t="str">
        <x:v>Rzeszów</x:v>
      </x:c>
      <x:c r="J132" s="62" t="str">
        <x:v>Średni</x:v>
      </x:c>
      <x:c r="K132" s="62" t="str"/>
      <x:c r="L132" s="62" t="str"/>
      <x:c r="M132" s="62" t="str"/>
      <x:c r="N132" s="62" t="str"/>
      <x:c r="O132" s="62" t="str">
        <x:v>https://ania.rze.pl</x:v>
      </x:c>
      <x:c r="P132" s="62" t="str">
        <x:v>Rzeszów</x:v>
      </x:c>
      <x:c r="Q132" s="62" t="str"/>
      <x:c r="R132" s="62" t="str"/>
      <x:c r="S132" s="62" t="str">
        <x:v>FMCG | Tytoń | Hurt | Sklep Tytoniowy</x:v>
      </x:c>
      <x:c r="T132" s="62" t="str">
        <x:f>IF(AND(K132&lt;&gt;"",L132&lt;&gt;"",O132&lt;&gt;""),"Pełny",IF(OR(K132&lt;&gt;"",L132&lt;&gt;""),"Częściowy","Brak bezpośredniego kontaktu"))</x:f>
        <x:v>Brak bezpośredniego kontaktu</x:v>
      </x:c>
      <x:c r="U132" s="62" t="str">
        <x:v>Nowy</x:v>
      </x:c>
      <x:c r="V132" s="62" t="str">
        <x:v>BILLS — hurt@bills.pl</x:v>
      </x:c>
      <x:c r="W132" s="62" t="str">
        <x:v>Dodać do kampanii regionalnej i wykonać follow-up telefoniczny</x:v>
      </x:c>
      <x:c r="X132" s="81" t="n">
        <x:f>IF(C132&gt;=82,'Model scoringu'!$B$4,IF(C132&gt;=72,'Model scoringu'!$B$5,IF(C132&gt;=58,'Model scoringu'!$B$6,"")))</x:f>
        <x:v>46234</x:v>
      </x:c>
      <x:c r="Y132" s="62" t="str">
        <x:v>Dostęp do sklepów tytoniowych i tradycyjnego handlu.</x:v>
      </x:c>
      <x:c r="Z132" s="62" t="str">
        <x:v>https://ania.rze.pl</x:v>
      </x:c>
      <x:c r="AA132" s="62" t="str">
        <x:v>Nie potwierdzone | Status źródłowy: Niezweryfikowany</x:v>
      </x:c>
      <x:c r="AB132" s="50" t="n">
        <x:v>22</x:v>
      </x:c>
      <x:c r="AC132" s="50" t="n">
        <x:v>15</x:v>
      </x:c>
      <x:c r="AD132" s="50" t="n">
        <x:v>11</x:v>
      </x:c>
      <x:c r="AE132" s="50" t="n">
        <x:v>5</x:v>
      </x:c>
      <x:c r="AF132" s="50" t="n">
        <x:v>10</x:v>
      </x:c>
      <x:c r="AG132" s="50" t="n">
        <x:v>10</x:v>
      </x:c>
      <x:c r="AH132" s="57" t="n">
        <x:v>5</x:v>
      </x:c>
    </x:row>
    <x:row r="133" ht="34" customHeight="1">
      <x:c r="A133" s="87" t="n">
        <x:v>131</x:v>
      </x:c>
      <x:c r="B133" s="88" t="str">
        <x:f>IF(C133&gt;=82,"A"&amp;1&amp;" — kontakt natychmiast",IF(C133&gt;=72,"A"&amp;2&amp;" — kontakt w 7 dni",IF(C133&gt;=58,"B — kampania regionalna",IF(C133&gt;=42,"C — weryfikacja i nurturing","D — niski priorytet/wykluczyć"))))</x:f>
        <x:v>B — kampania regionalna</x:v>
      </x:c>
      <x:c r="C133" s="88" t="n">
        <x:f>MAX(0,MIN(100,SUM(AB133:AG133)-AH133))</x:f>
        <x:v>68</x:v>
      </x:c>
      <x:c r="D133" s="62" t="str">
        <x:v>ADGAR Hurtownia</x:v>
      </x:c>
      <x:c r="E133" s="62" t="str">
        <x:v>Potencjalny reseller / odbiorca hurtowy</x:v>
      </x:c>
      <x:c r="F133" s="62" t="str">
        <x:v>S2 — Hurtownie tytoniowe/FMCG</x:v>
      </x:c>
      <x:c r="G133" s="62" t="str">
        <x:v>Hurt B2B + detal</x:v>
      </x:c>
      <x:c r="H133" s="62" t="str">
        <x:v>Mazowieckie</x:v>
      </x:c>
      <x:c r="I133" s="62" t="str">
        <x:v>Olsztyn</x:v>
      </x:c>
      <x:c r="J133" s="62" t="str">
        <x:v>Średni</x:v>
      </x:c>
      <x:c r="K133" s="62" t="str"/>
      <x:c r="L133" s="62" t="str"/>
      <x:c r="M133" s="62" t="str"/>
      <x:c r="N133" s="62" t="str"/>
      <x:c r="O133" s="62" t="str">
        <x:v>https://hurtownie.pl/hurtownie,...</x:v>
      </x:c>
      <x:c r="P133" s="62" t="str">
        <x:v>Mazowieckie</x:v>
      </x:c>
      <x:c r="Q133" s="62" t="str"/>
      <x:c r="R133" s="62" t="str"/>
      <x:c r="S133" s="62" t="str">
        <x:v>Tytoń | Hurt | Sklep Tytoniowy</x:v>
      </x:c>
      <x:c r="T133" s="62" t="str">
        <x:f>IF(AND(K133&lt;&gt;"",L133&lt;&gt;"",O133&lt;&gt;""),"Pełny",IF(OR(K133&lt;&gt;"",L133&lt;&gt;""),"Częściowy","Brak bezpośredniego kontaktu"))</x:f>
        <x:v>Brak bezpośredniego kontaktu</x:v>
      </x:c>
      <x:c r="U133" s="62" t="str">
        <x:v>Nowy</x:v>
      </x:c>
      <x:c r="V133" s="62" t="str">
        <x:v>BILLS — hurt@bills.pl</x:v>
      </x:c>
      <x:c r="W133" s="62" t="str">
        <x:v>Dodać do kampanii regionalnej i wykonać follow-up telefoniczny</x:v>
      </x:c>
      <x:c r="X133" s="81" t="n">
        <x:f>IF(C133&gt;=82,'Model scoringu'!$B$4,IF(C133&gt;=72,'Model scoringu'!$B$5,IF(C133&gt;=58,'Model scoringu'!$B$6,"")))</x:f>
        <x:v>46234</x:v>
      </x:c>
      <x:c r="Y133" s="62" t="str">
        <x:v>Dostęp do sklepów tytoniowych i tradycyjnego handlu.</x:v>
      </x:c>
      <x:c r="Z133" s="62" t="str">
        <x:v>https://hurtownie.pl/hurtownie,...</x:v>
      </x:c>
      <x:c r="AA133" s="62" t="str">
        <x:v>Nie potwierdzone | Status źródłowy: Niezweryfikowany</x:v>
      </x:c>
      <x:c r="AB133" s="50" t="n">
        <x:v>22</x:v>
      </x:c>
      <x:c r="AC133" s="50" t="n">
        <x:v>15</x:v>
      </x:c>
      <x:c r="AD133" s="50" t="n">
        <x:v>11</x:v>
      </x:c>
      <x:c r="AE133" s="50" t="n">
        <x:v>5</x:v>
      </x:c>
      <x:c r="AF133" s="50" t="n">
        <x:v>10</x:v>
      </x:c>
      <x:c r="AG133" s="50" t="n">
        <x:v>10</x:v>
      </x:c>
      <x:c r="AH133" s="57" t="n">
        <x:v>5</x:v>
      </x:c>
    </x:row>
    <x:row r="134" ht="34" customHeight="1">
      <x:c r="A134" s="87" t="n">
        <x:v>132</x:v>
      </x:c>
      <x:c r="B134" s="88" t="str">
        <x:f>IF(C134&gt;=82,"A"&amp;1&amp;" — kontakt natychmiast",IF(C134&gt;=72,"A"&amp;2&amp;" — kontakt w 7 dni",IF(C134&gt;=58,"B — kampania regionalna",IF(C134&gt;=42,"C — weryfikacja i nurturing","D — niski priorytet/wykluczyć"))))</x:f>
        <x:v>B — kampania regionalna</x:v>
      </x:c>
      <x:c r="C134" s="88" t="n">
        <x:f>MAX(0,MIN(100,SUM(AB134:AG134)-AH134))</x:f>
        <x:v>68</x:v>
      </x:c>
      <x:c r="D134" s="62" t="str">
        <x:v>7&amp;7 Hurtownia Wielobranżowa</x:v>
      </x:c>
      <x:c r="E134" s="62" t="str">
        <x:v>Potencjalny reseller / odbiorca hurtowy</x:v>
      </x:c>
      <x:c r="F134" s="62" t="str">
        <x:v>S2 — Hurtownie tytoniowe/FMCG</x:v>
      </x:c>
      <x:c r="G134" s="62" t="str">
        <x:v>Hurt B2B + detal</x:v>
      </x:c>
      <x:c r="H134" s="62" t="str">
        <x:v>Kujawsko-pomorskie</x:v>
      </x:c>
      <x:c r="I134" s="62" t="str">
        <x:v>Rypin</x:v>
      </x:c>
      <x:c r="J134" s="62" t="str">
        <x:v>Średni</x:v>
      </x:c>
      <x:c r="K134" s="62" t="str"/>
      <x:c r="L134" s="62" t="str"/>
      <x:c r="M134" s="62" t="str"/>
      <x:c r="N134" s="62" t="str"/>
      <x:c r="O134" s="62" t="str">
        <x:v>https://hurt77.pl/hurtownia</x:v>
      </x:c>
      <x:c r="P134" s="62" t="str">
        <x:v>Rypin</x:v>
      </x:c>
      <x:c r="Q134" s="62" t="str"/>
      <x:c r="R134" s="62" t="str"/>
      <x:c r="S134" s="62" t="str">
        <x:v>FMCG | Tytoń | Hurt | Sklep Tytoniowy</x:v>
      </x:c>
      <x:c r="T134" s="62" t="str">
        <x:f>IF(AND(K134&lt;&gt;"",L134&lt;&gt;"",O134&lt;&gt;""),"Pełny",IF(OR(K134&lt;&gt;"",L134&lt;&gt;""),"Częściowy","Brak bezpośredniego kontaktu"))</x:f>
        <x:v>Brak bezpośredniego kontaktu</x:v>
      </x:c>
      <x:c r="U134" s="62" t="str">
        <x:v>Nowy</x:v>
      </x:c>
      <x:c r="V134" s="62" t="str">
        <x:v>BILLS — hurt@bills.pl</x:v>
      </x:c>
      <x:c r="W134" s="62" t="str">
        <x:v>Dodać do kampanii regionalnej i wykonać follow-up telefoniczny</x:v>
      </x:c>
      <x:c r="X134" s="81" t="n">
        <x:f>IF(C134&gt;=82,'Model scoringu'!$B$4,IF(C134&gt;=72,'Model scoringu'!$B$5,IF(C134&gt;=58,'Model scoringu'!$B$6,"")))</x:f>
        <x:v>46234</x:v>
      </x:c>
      <x:c r="Y134" s="62" t="str">
        <x:v>Dostęp do sklepów tytoniowych i tradycyjnego handlu.</x:v>
      </x:c>
      <x:c r="Z134" s="62" t="str">
        <x:v>https://hurt77.pl/hurtownia</x:v>
      </x:c>
      <x:c r="AA134" s="62" t="str">
        <x:v>Nie potwierdzone | Status źródłowy: Niezweryfikowany</x:v>
      </x:c>
      <x:c r="AB134" s="50" t="n">
        <x:v>22</x:v>
      </x:c>
      <x:c r="AC134" s="50" t="n">
        <x:v>15</x:v>
      </x:c>
      <x:c r="AD134" s="50" t="n">
        <x:v>11</x:v>
      </x:c>
      <x:c r="AE134" s="50" t="n">
        <x:v>5</x:v>
      </x:c>
      <x:c r="AF134" s="50" t="n">
        <x:v>10</x:v>
      </x:c>
      <x:c r="AG134" s="50" t="n">
        <x:v>10</x:v>
      </x:c>
      <x:c r="AH134" s="57" t="n">
        <x:v>5</x:v>
      </x:c>
    </x:row>
    <x:row r="135" ht="34" customHeight="1">
      <x:c r="A135" s="87" t="n">
        <x:v>133</x:v>
      </x:c>
      <x:c r="B135" s="88" t="str">
        <x:f>IF(C135&gt;=82,"A"&amp;1&amp;" — kontakt natychmiast",IF(C135&gt;=72,"A"&amp;2&amp;" — kontakt w 7 dni",IF(C135&gt;=58,"B — kampania regionalna",IF(C135&gt;=42,"C — weryfikacja i nurturing","D — niski priorytet/wykluczyć"))))</x:f>
        <x:v>B — kampania regionalna</x:v>
      </x:c>
      <x:c r="C135" s="88" t="n">
        <x:f>MAX(0,MIN(100,SUM(AB135:AG135)-AH135))</x:f>
        <x:v>68</x:v>
      </x:c>
      <x:c r="D135" s="62" t="str">
        <x:v>"Wir" Hurtownia Papierosów i Kawy</x:v>
      </x:c>
      <x:c r="E135" s="62" t="str">
        <x:v>Potencjalny reseller / odbiorca hurtowy</x:v>
      </x:c>
      <x:c r="F135" s="62" t="str">
        <x:v>S2 — Hurtownie tytoniowe/FMCG</x:v>
      </x:c>
      <x:c r="G135" s="62" t="str">
        <x:v>Hurt B2B + detal</x:v>
      </x:c>
      <x:c r="H135" s="62" t="str">
        <x:v>Opolskie</x:v>
      </x:c>
      <x:c r="I135" s="62" t="str">
        <x:v>Strzelce Opolskie</x:v>
      </x:c>
      <x:c r="J135" s="62" t="str">
        <x:v>Średni</x:v>
      </x:c>
      <x:c r="K135" s="62" t="str"/>
      <x:c r="L135" s="62" t="str"/>
      <x:c r="M135" s="62" t="str"/>
      <x:c r="N135" s="62" t="str"/>
      <x:c r="O135" s="62" t="str">
        <x:v>https://24opole.pl/21262,Wir._...</x:v>
      </x:c>
      <x:c r="P135" s="62" t="str">
        <x:v>Strzelce Opolskie (Pl. Targowy 9)</x:v>
      </x:c>
      <x:c r="Q135" s="62" t="str"/>
      <x:c r="R135" s="62" t="str"/>
      <x:c r="S135" s="62" t="str">
        <x:v>FMCG | Papierosy | Tytoń | Hurt | Sklep Tytoniowy</x:v>
      </x:c>
      <x:c r="T135" s="62" t="str">
        <x:f>IF(AND(K135&lt;&gt;"",L135&lt;&gt;"",O135&lt;&gt;""),"Pełny",IF(OR(K135&lt;&gt;"",L135&lt;&gt;""),"Częściowy","Brak bezpośredniego kontaktu"))</x:f>
        <x:v>Brak bezpośredniego kontaktu</x:v>
      </x:c>
      <x:c r="U135" s="62" t="str">
        <x:v>Nowy</x:v>
      </x:c>
      <x:c r="V135" s="62" t="str">
        <x:v>BILLS — hurt@bills.pl</x:v>
      </x:c>
      <x:c r="W135" s="62" t="str">
        <x:v>Dodać do kampanii regionalnej i wykonać follow-up telefoniczny</x:v>
      </x:c>
      <x:c r="X135" s="81" t="n">
        <x:f>IF(C135&gt;=82,'Model scoringu'!$B$4,IF(C135&gt;=72,'Model scoringu'!$B$5,IF(C135&gt;=58,'Model scoringu'!$B$6,"")))</x:f>
        <x:v>46234</x:v>
      </x:c>
      <x:c r="Y135" s="62" t="str">
        <x:v>Dostęp do sklepów tytoniowych i tradycyjnego handlu.</x:v>
      </x:c>
      <x:c r="Z135" s="62" t="str">
        <x:v>https://24opole.pl/21262,Wir._...</x:v>
      </x:c>
      <x:c r="AA135" s="62" t="str">
        <x:v>Nie potwierdzone | Status źródłowy: Niezweryfikowany</x:v>
      </x:c>
      <x:c r="AB135" s="50" t="n">
        <x:v>22</x:v>
      </x:c>
      <x:c r="AC135" s="50" t="n">
        <x:v>15</x:v>
      </x:c>
      <x:c r="AD135" s="50" t="n">
        <x:v>11</x:v>
      </x:c>
      <x:c r="AE135" s="50" t="n">
        <x:v>5</x:v>
      </x:c>
      <x:c r="AF135" s="50" t="n">
        <x:v>10</x:v>
      </x:c>
      <x:c r="AG135" s="50" t="n">
        <x:v>10</x:v>
      </x:c>
      <x:c r="AH135" s="57" t="n">
        <x:v>5</x:v>
      </x:c>
    </x:row>
    <x:row r="136" ht="34" customHeight="1">
      <x:c r="A136" s="87" t="n">
        <x:v>134</x:v>
      </x:c>
      <x:c r="B136" s="88" t="str">
        <x:f>IF(C136&gt;=82,"A"&amp;1&amp;" — kontakt natychmiast",IF(C136&gt;=72,"A"&amp;2&amp;" — kontakt w 7 dni",IF(C136&gt;=58,"B — kampania regionalna",IF(C136&gt;=42,"C — weryfikacja i nurturing","D — niski priorytet/wykluczyć"))))</x:f>
        <x:v>B — kampania regionalna</x:v>
      </x:c>
      <x:c r="C136" s="88" t="n">
        <x:f>MAX(0,MIN(100,SUM(AB136:AG136)-AH136))</x:f>
        <x:v>68</x:v>
      </x:c>
      <x:c r="D136" s="62" t="str">
        <x:v>Zas-Pol</x:v>
      </x:c>
      <x:c r="E136" s="62" t="str">
        <x:v>Potencjalny reseller / odbiorca hurtowy</x:v>
      </x:c>
      <x:c r="F136" s="62" t="str">
        <x:v>S2 — Hurtownie tytoniowe/FMCG</x:v>
      </x:c>
      <x:c r="G136" s="62" t="str">
        <x:v>Hurt ogólnopolski</x:v>
      </x:c>
      <x:c r="H136" s="62" t="str">
        <x:v>Ogólnopolska</x:v>
      </x:c>
      <x:c r="I136" s="62" t="str">
        <x:v>Kraków, Poznań, Piła, Zielona Góra</x:v>
      </x:c>
      <x:c r="J136" s="62" t="str">
        <x:v>Średni</x:v>
      </x:c>
      <x:c r="K136" s="62" t="str"/>
      <x:c r="L136" s="62" t="str"/>
      <x:c r="M136" s="62" t="str"/>
      <x:c r="N136" s="62" t="str"/>
      <x:c r="O136" s="62" t="str">
        <x:v>https://zas-pol.pl</x:v>
      </x:c>
      <x:c r="P136" s="62" t="str"/>
      <x:c r="Q136" s="62" t="str"/>
      <x:c r="R136" s="62" t="str"/>
      <x:c r="S136" s="62" t="str">
        <x:v>FMCG | Papierosy | Tytoń</x:v>
      </x:c>
      <x:c r="T136" s="62" t="str">
        <x:f>IF(AND(K136&lt;&gt;"",L136&lt;&gt;"",O136&lt;&gt;""),"Pełny",IF(OR(K136&lt;&gt;"",L136&lt;&gt;""),"Częściowy","Brak bezpośredniego kontaktu"))</x:f>
        <x:v>Brak bezpośredniego kontaktu</x:v>
      </x:c>
      <x:c r="U136" s="62" t="str">
        <x:v>Nowy</x:v>
      </x:c>
      <x:c r="V136" s="62" t="str">
        <x:v>BILLS — hurt@bills.pl</x:v>
      </x:c>
      <x:c r="W136" s="62" t="str">
        <x:v>Dodać do kampanii regionalnej i wykonać follow-up telefoniczny</x:v>
      </x:c>
      <x:c r="X136" s="81" t="n">
        <x:f>IF(C136&gt;=82,'Model scoringu'!$B$4,IF(C136&gt;=72,'Model scoringu'!$B$5,IF(C136&gt;=58,'Model scoringu'!$B$6,"")))</x:f>
        <x:v>46234</x:v>
      </x:c>
      <x:c r="Y136" s="62" t="str">
        <x:v>Dostęp do sklepów tytoniowych i tradycyjnego handlu; zasięg ponadregionalny.</x:v>
      </x:c>
      <x:c r="Z136" s="62" t="str">
        <x:v>https://zas-pol.pl</x:v>
      </x:c>
      <x:c r="AA136" s="62" t="str">
        <x:v>Nie potwierdzone</x:v>
      </x:c>
      <x:c r="AB136" s="50" t="n">
        <x:v>22</x:v>
      </x:c>
      <x:c r="AC136" s="50" t="n">
        <x:v>18</x:v>
      </x:c>
      <x:c r="AD136" s="50" t="n">
        <x:v>15</x:v>
      </x:c>
      <x:c r="AE136" s="50" t="n">
        <x:v>3</x:v>
      </x:c>
      <x:c r="AF136" s="50" t="n">
        <x:v>10</x:v>
      </x:c>
      <x:c r="AG136" s="50" t="n">
        <x:v>5</x:v>
      </x:c>
      <x:c r="AH136" s="57" t="n">
        <x:v>5</x:v>
      </x:c>
    </x:row>
    <x:row r="137" ht="34" customHeight="1">
      <x:c r="A137" s="87" t="n">
        <x:v>135</x:v>
      </x:c>
      <x:c r="B137" s="88" t="str">
        <x:f>IF(C137&gt;=82,"A"&amp;1&amp;" — kontakt natychmiast",IF(C137&gt;=72,"A"&amp;2&amp;" — kontakt w 7 dni",IF(C137&gt;=58,"B — kampania regionalna",IF(C137&gt;=42,"C — weryfikacja i nurturing","D — niski priorytet/wykluczyć"))))</x:f>
        <x:v>B — kampania regionalna</x:v>
      </x:c>
      <x:c r="C137" s="88" t="n">
        <x:f>MAX(0,MIN(100,SUM(AB137:AG137)-AH137))</x:f>
        <x:v>67</x:v>
      </x:c>
      <x:c r="D137" s="62" t="str">
        <x:v>SUŻYW Hurtownia artykułów spożywczych, alkoholi i papierosów</x:v>
      </x:c>
      <x:c r="E137" s="62" t="str">
        <x:v>Potencjalny reseller / odbiorca hurtowy</x:v>
      </x:c>
      <x:c r="F137" s="62" t="str">
        <x:v>S2 — Hurtownie tytoniowe/FMCG</x:v>
      </x:c>
      <x:c r="G137" s="62" t="str">
        <x:v>Hurt B2B regionalny</x:v>
      </x:c>
      <x:c r="H137" s="62" t="str">
        <x:v>Małopolskie</x:v>
      </x:c>
      <x:c r="I137" s="62" t="str">
        <x:v>Sucha Beskidzka</x:v>
      </x:c>
      <x:c r="J137" s="62" t="str">
        <x:v>Średni</x:v>
      </x:c>
      <x:c r="K137" s="62" t="str"/>
      <x:c r="L137" s="62" t="str"/>
      <x:c r="M137" s="62" t="str"/>
      <x:c r="N137" s="62" t="str"/>
      <x:c r="O137" s="62" t="str"/>
      <x:c r="P137" s="62" t="str">
        <x:v>ul. Nad Skawą 4, 34-200 Sucha Beskidzka</x:v>
      </x:c>
      <x:c r="Q137" s="62" t="str"/>
      <x:c r="R137" s="62" t="str"/>
      <x:c r="S137" s="62" t="str">
        <x:v>Papierosy | FMCG | FMCG | Tytoń</x:v>
      </x:c>
      <x:c r="T137" s="62" t="str">
        <x:f>IF(AND(K137&lt;&gt;"",L137&lt;&gt;"",O137&lt;&gt;""),"Pełny",IF(OR(K137&lt;&gt;"",L137&lt;&gt;""),"Częściowy","Brak bezpośredniego kontaktu"))</x:f>
        <x:v>Brak bezpośredniego kontaktu</x:v>
      </x:c>
      <x:c r="U137" s="62" t="str">
        <x:v>Nowy</x:v>
      </x:c>
      <x:c r="V137" s="62" t="str">
        <x:v>BILLS — hurt@bills.pl</x:v>
      </x:c>
      <x:c r="W137" s="62" t="str">
        <x:v>Dodać do kampanii regionalnej i wykonać follow-up telefoniczny</x:v>
      </x:c>
      <x:c r="X137" s="81" t="n">
        <x:f>IF(C137&gt;=82,'Model scoringu'!$B$4,IF(C137&gt;=72,'Model scoringu'!$B$5,IF(C137&gt;=58,'Model scoringu'!$B$6,"")))</x:f>
        <x:v>46234</x:v>
      </x:c>
      <x:c r="Y137" s="62" t="str">
        <x:v>Dostęp do sklepów tytoniowych i tradycyjnego handlu.</x:v>
      </x:c>
      <x:c r="Z137" s="62" t="str"/>
      <x:c r="AA137" s="62" t="str">
        <x:v>Lead regionalny; wymaga sprawdzenia CEIDG/KRS i telefonu. | Status źródłowy: Do weryfikacji — katalog</x:v>
      </x:c>
      <x:c r="AB137" s="50" t="n">
        <x:v>22</x:v>
      </x:c>
      <x:c r="AC137" s="50" t="n">
        <x:v>15</x:v>
      </x:c>
      <x:c r="AD137" s="50" t="n">
        <x:v>11</x:v>
      </x:c>
      <x:c r="AE137" s="50" t="n">
        <x:v>2</x:v>
      </x:c>
      <x:c r="AF137" s="50" t="n">
        <x:v>10</x:v>
      </x:c>
      <x:c r="AG137" s="50" t="n">
        <x:v>7</x:v>
      </x:c>
      <x:c r="AH137" s="57" t="n">
        <x:v>0</x:v>
      </x:c>
    </x:row>
    <x:row r="138" ht="34" customHeight="1">
      <x:c r="A138" s="87" t="n">
        <x:v>136</x:v>
      </x:c>
      <x:c r="B138" s="88" t="str">
        <x:f>IF(C138&gt;=82,"A"&amp;1&amp;" — kontakt natychmiast",IF(C138&gt;=72,"A"&amp;2&amp;" — kontakt w 7 dni",IF(C138&gt;=58,"B — kampania regionalna",IF(C138&gt;=42,"C — weryfikacja i nurturing","D — niski priorytet/wykluczyć"))))</x:f>
        <x:v>B — kampania regionalna</x:v>
      </x:c>
      <x:c r="C138" s="88" t="n">
        <x:f>MAX(0,MIN(100,SUM(AB138:AG138)-AH138))</x:f>
        <x:v>67</x:v>
      </x:c>
      <x:c r="D138" s="62" t="str">
        <x:v>KRYMAR Dystrybutor wyrobów tytoniowych</x:v>
      </x:c>
      <x:c r="E138" s="62" t="str">
        <x:v>Potencjalny reseller / odbiorca hurtowy</x:v>
      </x:c>
      <x:c r="F138" s="62" t="str">
        <x:v>S2 — Hurtownie tytoniowe/FMCG</x:v>
      </x:c>
      <x:c r="G138" s="62" t="str">
        <x:v>Hurt B2B regionalny</x:v>
      </x:c>
      <x:c r="H138" s="62" t="str">
        <x:v>Pomorskie</x:v>
      </x:c>
      <x:c r="I138" s="62" t="str">
        <x:v>Słupsk</x:v>
      </x:c>
      <x:c r="J138" s="62" t="str">
        <x:v>Średni</x:v>
      </x:c>
      <x:c r="K138" s="62" t="str"/>
      <x:c r="L138" s="62" t="str"/>
      <x:c r="M138" s="62" t="str"/>
      <x:c r="N138" s="62" t="str"/>
      <x:c r="O138" s="62" t="str"/>
      <x:c r="P138" s="62" t="str">
        <x:v>ul. Armii Krajowej 16, 76-200 Słupsk</x:v>
      </x:c>
      <x:c r="Q138" s="62" t="str"/>
      <x:c r="R138" s="62" t="str"/>
      <x:c r="S138" s="62" t="str">
        <x:v>Papierosy | Wyroby tytoniowe | Tytoń</x:v>
      </x:c>
      <x:c r="T138" s="62" t="str">
        <x:f>IF(AND(K138&lt;&gt;"",L138&lt;&gt;"",O138&lt;&gt;""),"Pełny",IF(OR(K138&lt;&gt;"",L138&lt;&gt;""),"Częściowy","Brak bezpośredniego kontaktu"))</x:f>
        <x:v>Brak bezpośredniego kontaktu</x:v>
      </x:c>
      <x:c r="U138" s="62" t="str">
        <x:v>Nowy</x:v>
      </x:c>
      <x:c r="V138" s="62" t="str">
        <x:v>BILLS — hurt@bills.pl</x:v>
      </x:c>
      <x:c r="W138" s="62" t="str">
        <x:v>Dodać do kampanii regionalnej i wykonać follow-up telefoniczny</x:v>
      </x:c>
      <x:c r="X138" s="81" t="n">
        <x:f>IF(C138&gt;=82,'Model scoringu'!$B$4,IF(C138&gt;=72,'Model scoringu'!$B$5,IF(C138&gt;=58,'Model scoringu'!$B$6,"")))</x:f>
        <x:v>46234</x:v>
      </x:c>
      <x:c r="Y138" s="62" t="str">
        <x:v>Dostęp do sklepów tytoniowych i tradycyjnego handlu.</x:v>
      </x:c>
      <x:c r="Z138" s="62" t="str"/>
      <x:c r="AA138" s="62" t="str">
        <x:v>Regionalny lead dystrybucyjny; brak potwierdzonej strony i danych rejestrowych. | Status źródłowy: Do weryfikacji — katalog</x:v>
      </x:c>
      <x:c r="AB138" s="50" t="n">
        <x:v>22</x:v>
      </x:c>
      <x:c r="AC138" s="50" t="n">
        <x:v>15</x:v>
      </x:c>
      <x:c r="AD138" s="50" t="n">
        <x:v>11</x:v>
      </x:c>
      <x:c r="AE138" s="50" t="n">
        <x:v>2</x:v>
      </x:c>
      <x:c r="AF138" s="50" t="n">
        <x:v>10</x:v>
      </x:c>
      <x:c r="AG138" s="50" t="n">
        <x:v>7</x:v>
      </x:c>
      <x:c r="AH138" s="57" t="n">
        <x:v>0</x:v>
      </x:c>
    </x:row>
    <x:row r="139" ht="34" customHeight="1">
      <x:c r="A139" s="87" t="n">
        <x:v>137</x:v>
      </x:c>
      <x:c r="B139" s="88" t="str">
        <x:f>IF(C139&gt;=82,"A"&amp;1&amp;" — kontakt natychmiast",IF(C139&gt;=72,"A"&amp;2&amp;" — kontakt w 7 dni",IF(C139&gt;=58,"B — kampania regionalna",IF(C139&gt;=42,"C — weryfikacja i nurturing","D — niski priorytet/wykluczyć"))))</x:f>
        <x:v>B — kampania regionalna</x:v>
      </x:c>
      <x:c r="C139" s="88" t="n">
        <x:f>MAX(0,MIN(100,SUM(AB139:AG139)-AH139))</x:f>
        <x:v>67</x:v>
      </x:c>
      <x:c r="D139" s="62" t="str">
        <x:v>Hurtownia KIM K. Krzemiński, M. Krzemiński, A. Chrząszcz Sp.j.</x:v>
      </x:c>
      <x:c r="E139" s="62" t="str">
        <x:v>Potencjalny reseller / odbiorca hurtowy</x:v>
      </x:c>
      <x:c r="F139" s="62" t="str">
        <x:v>S2 — Hurtownie tytoniowe/FMCG</x:v>
      </x:c>
      <x:c r="G139" s="62" t="str">
        <x:v>Hurt B2B regionalny</x:v>
      </x:c>
      <x:c r="H139" s="62" t="str">
        <x:v>Świętokrzyskie</x:v>
      </x:c>
      <x:c r="I139" s="62" t="str">
        <x:v>Busko-Zdrój</x:v>
      </x:c>
      <x:c r="J139" s="62" t="str">
        <x:v>Średni</x:v>
      </x:c>
      <x:c r="K139" s="62" t="str"/>
      <x:c r="L139" s="62" t="str"/>
      <x:c r="M139" s="62" t="str"/>
      <x:c r="N139" s="62" t="str"/>
      <x:c r="O139" s="62" t="str"/>
      <x:c r="P139" s="62" t="str">
        <x:v>ul. Bohaterów Warszawy 106, 28-100 Busko-Zdrój</x:v>
      </x:c>
      <x:c r="Q139" s="62" t="str"/>
      <x:c r="R139" s="62" t="str"/>
      <x:c r="S139" s="62" t="str">
        <x:v>Papierosy | Wyroby tytoniowe | FMCG | Tytoń | FMCG</x:v>
      </x:c>
      <x:c r="T139" s="62" t="str">
        <x:f>IF(AND(K139&lt;&gt;"",L139&lt;&gt;"",O139&lt;&gt;""),"Pełny",IF(OR(K139&lt;&gt;"",L139&lt;&gt;""),"Częściowy","Brak bezpośredniego kontaktu"))</x:f>
        <x:v>Brak bezpośredniego kontaktu</x:v>
      </x:c>
      <x:c r="U139" s="62" t="str">
        <x:v>Nowy</x:v>
      </x:c>
      <x:c r="V139" s="62" t="str">
        <x:v>BILLS — hurt@bills.pl</x:v>
      </x:c>
      <x:c r="W139" s="62" t="str">
        <x:v>Dodać do kampanii regionalnej i wykonać follow-up telefoniczny</x:v>
      </x:c>
      <x:c r="X139" s="81" t="n">
        <x:f>IF(C139&gt;=82,'Model scoringu'!$B$4,IF(C139&gt;=72,'Model scoringu'!$B$5,IF(C139&gt;=58,'Model scoringu'!$B$6,"")))</x:f>
        <x:v>46234</x:v>
      </x:c>
      <x:c r="Y139" s="62" t="str">
        <x:v>Dostęp do sklepów tytoniowych i tradycyjnego handlu.</x:v>
      </x:c>
      <x:c r="Z139" s="62" t="str"/>
      <x:c r="AA139" s="62" t="str">
        <x:v>Lead regionalny do weryfikacji telefonicznej i rejestrowej. | Status źródłowy: Do weryfikacji — katalog</x:v>
      </x:c>
      <x:c r="AB139" s="50" t="n">
        <x:v>22</x:v>
      </x:c>
      <x:c r="AC139" s="50" t="n">
        <x:v>15</x:v>
      </x:c>
      <x:c r="AD139" s="50" t="n">
        <x:v>11</x:v>
      </x:c>
      <x:c r="AE139" s="50" t="n">
        <x:v>2</x:v>
      </x:c>
      <x:c r="AF139" s="50" t="n">
        <x:v>10</x:v>
      </x:c>
      <x:c r="AG139" s="50" t="n">
        <x:v>7</x:v>
      </x:c>
      <x:c r="AH139" s="57" t="n">
        <x:v>0</x:v>
      </x:c>
    </x:row>
    <x:row r="140" ht="34" customHeight="1">
      <x:c r="A140" s="87" t="n">
        <x:v>138</x:v>
      </x:c>
      <x:c r="B140" s="88" t="str">
        <x:f>IF(C140&gt;=82,"A"&amp;1&amp;" — kontakt natychmiast",IF(C140&gt;=72,"A"&amp;2&amp;" — kontakt w 7 dni",IF(C140&gt;=58,"B — kampania regionalna",IF(C140&gt;=42,"C — weryfikacja i nurturing","D — niski priorytet/wykluczyć"))))</x:f>
        <x:v>B — kampania regionalna</x:v>
      </x:c>
      <x:c r="C140" s="88" t="n">
        <x:f>MAX(0,MIN(100,SUM(AB140:AG140)-AH140))</x:f>
        <x:v>66</x:v>
      </x:c>
      <x:c r="D140" s="62" t="str">
        <x:v>Hurtownia Papierosów Śląsk i Zagłębie</x:v>
      </x:c>
      <x:c r="E140" s="62" t="str">
        <x:v>Partner cross-sell / kanał sąsiedni</x:v>
      </x:c>
      <x:c r="F140" s="62" t="str">
        <x:v>S4 — Vape/e-papierosy</x:v>
      </x:c>
      <x:c r="G140" s="62" t="str">
        <x:v>Hurt B2B + detal</x:v>
      </x:c>
      <x:c r="H140" s="62" t="str">
        <x:v>Śląskie</x:v>
      </x:c>
      <x:c r="I140" s="62" t="str">
        <x:v>Katowice, Sosnowiec, Dąbrowa Górnicza, Siemianowice, Czeladź, Będzin</x:v>
      </x:c>
      <x:c r="J140" s="62" t="str">
        <x:v>Średni</x:v>
      </x:c>
      <x:c r="K140" s="62" t="str"/>
      <x:c r="L140" s="62" t="str">
        <x:v>+48 500 804 824</x:v>
      </x:c>
      <x:c r="M140" s="62" t="str"/>
      <x:c r="N140" s="62" t="str"/>
      <x:c r="O140" s="62" t="str">
        <x:v>https://hurtownia-papierosow.pl</x:v>
      </x:c>
      <x:c r="P140" s="62" t="str">
        <x:v>Modrzejowska 19, 41-250 Czeladź, Polska</x:v>
      </x:c>
      <x:c r="Q140" s="62" t="str"/>
      <x:c r="R140" s="62" t="str"/>
      <x:c r="S140" s="62" t="str">
        <x:v>Papierosy | Tytoń | Vape &amp; E-papierosy | Hurt | Sklep Tytoniowy</x:v>
      </x:c>
      <x:c r="T140" s="62" t="str">
        <x:f>IF(AND(K140&lt;&gt;"",L140&lt;&gt;"",O140&lt;&gt;""),"Pełny",IF(OR(K140&lt;&gt;"",L140&lt;&gt;""),"Częściowy","Brak bezpośredniego kontaktu"))</x:f>
        <x:v>Częściowy</x:v>
      </x:c>
      <x:c r="U140" s="62" t="str">
        <x:v>Nowy</x:v>
      </x:c>
      <x:c r="V140" s="62" t="str">
        <x:v>BILLS — hurt@bills.pl</x:v>
      </x:c>
      <x:c r="W140" s="62" t="str">
        <x:v>Dodać do kampanii regionalnej i wykonać follow-up telefoniczny</x:v>
      </x:c>
      <x:c r="X140" s="81" t="n">
        <x:f>IF(C140&gt;=82,'Model scoringu'!$B$4,IF(C140&gt;=72,'Model scoringu'!$B$5,IF(C140&gt;=58,'Model scoringu'!$B$6,"")))</x:f>
        <x:v>46234</x:v>
      </x:c>
      <x:c r="Y140" s="62" t="str">
        <x:v>Kanał sąsiedni z bazą klientów zainteresowanych produktami nikotynowymi.</x:v>
      </x:c>
      <x:c r="Z140" s="62" t="str">
        <x:v>https://hurtownia-papierosow.pl</x:v>
      </x:c>
      <x:c r="AA140" s="62" t="str">
        <x:v>Nie potwierdzone | Status źródłowy: Niezweryfikowany</x:v>
      </x:c>
      <x:c r="AB140" s="50" t="n">
        <x:v>11</x:v>
      </x:c>
      <x:c r="AC140" s="50" t="n">
        <x:v>15</x:v>
      </x:c>
      <x:c r="AD140" s="50" t="n">
        <x:v>11</x:v>
      </x:c>
      <x:c r="AE140" s="50" t="n">
        <x:v>9</x:v>
      </x:c>
      <x:c r="AF140" s="50" t="n">
        <x:v>10</x:v>
      </x:c>
      <x:c r="AG140" s="50" t="n">
        <x:v>10</x:v>
      </x:c>
      <x:c r="AH140" s="57" t="n">
        <x:v>0</x:v>
      </x:c>
    </x:row>
    <x:row r="141" ht="34" customHeight="1">
      <x:c r="A141" s="87" t="n">
        <x:v>139</x:v>
      </x:c>
      <x:c r="B141" s="88" t="str">
        <x:f>IF(C141&gt;=82,"A"&amp;1&amp;" — kontakt natychmiast",IF(C141&gt;=72,"A"&amp;2&amp;" — kontakt w 7 dni",IF(C141&gt;=58,"B — kampania regionalna",IF(C141&gt;=42,"C — weryfikacja i nurturing","D — niski priorytet/wykluczyć"))))</x:f>
        <x:v>B — kampania regionalna</x:v>
      </x:c>
      <x:c r="C141" s="88" t="n">
        <x:f>MAX(0,MIN(100,SUM(AB141:AG141)-AH141))</x:f>
        <x:v>66</x:v>
      </x:c>
      <x:c r="D141" s="62" t="str">
        <x:v>F.H. Alans — Hurtownia Artykułów Tytoniowych</x:v>
      </x:c>
      <x:c r="E141" s="62" t="str">
        <x:v>Partner cross-sell / kanał sąsiedni</x:v>
      </x:c>
      <x:c r="F141" s="62" t="str">
        <x:v>S4 — Vape/e-papierosy</x:v>
      </x:c>
      <x:c r="G141" s="62" t="str">
        <x:v>Hurt B2B + detal</x:v>
      </x:c>
      <x:c r="H141" s="62" t="str">
        <x:v>Śląskie</x:v>
      </x:c>
      <x:c r="I141" s="62" t="str">
        <x:v>Ruda Śląska</x:v>
      </x:c>
      <x:c r="J141" s="62" t="str">
        <x:v>Średni</x:v>
      </x:c>
      <x:c r="K141" s="62" t="str"/>
      <x:c r="L141" s="62" t="str">
        <x:v>32 240 22 26</x:v>
      </x:c>
      <x:c r="M141" s="62" t="str"/>
      <x:c r="N141" s="62" t="str"/>
      <x:c r="O141" s="62" t="str">
        <x:v>https://alans.pl</x:v>
      </x:c>
      <x:c r="P141" s="62" t="str">
        <x:v>Ruda Śląska (Pionierów 31)</x:v>
      </x:c>
      <x:c r="Q141" s="62" t="str"/>
      <x:c r="R141" s="62" t="str"/>
      <x:c r="S141" s="62" t="str">
        <x:v>Papierosy | Tytoń | Vape &amp; E-papierosy | Hurt | Sklep Tytoniowy</x:v>
      </x:c>
      <x:c r="T141" s="62" t="str">
        <x:f>IF(AND(K141&lt;&gt;"",L141&lt;&gt;"",O141&lt;&gt;""),"Pełny",IF(OR(K141&lt;&gt;"",L141&lt;&gt;""),"Częściowy","Brak bezpośredniego kontaktu"))</x:f>
        <x:v>Częściowy</x:v>
      </x:c>
      <x:c r="U141" s="62" t="str">
        <x:v>Nowy</x:v>
      </x:c>
      <x:c r="V141" s="62" t="str">
        <x:v>BILLS — hurt@bills.pl</x:v>
      </x:c>
      <x:c r="W141" s="62" t="str">
        <x:v>Dodać do kampanii regionalnej i wykonać follow-up telefoniczny</x:v>
      </x:c>
      <x:c r="X141" s="81" t="n">
        <x:f>IF(C141&gt;=82,'Model scoringu'!$B$4,IF(C141&gt;=72,'Model scoringu'!$B$5,IF(C141&gt;=58,'Model scoringu'!$B$6,"")))</x:f>
        <x:v>46234</x:v>
      </x:c>
      <x:c r="Y141" s="62" t="str">
        <x:v>Kanał sąsiedni z bazą klientów zainteresowanych produktami nikotynowymi.</x:v>
      </x:c>
      <x:c r="Z141" s="62" t="str">
        <x:v>https://alans.pl</x:v>
      </x:c>
      <x:c r="AA141" s="62" t="str">
        <x:v>Nie potwierdzone | Status źródłowy: Niezweryfikowany</x:v>
      </x:c>
      <x:c r="AB141" s="50" t="n">
        <x:v>11</x:v>
      </x:c>
      <x:c r="AC141" s="50" t="n">
        <x:v>15</x:v>
      </x:c>
      <x:c r="AD141" s="50" t="n">
        <x:v>11</x:v>
      </x:c>
      <x:c r="AE141" s="50" t="n">
        <x:v>9</x:v>
      </x:c>
      <x:c r="AF141" s="50" t="n">
        <x:v>10</x:v>
      </x:c>
      <x:c r="AG141" s="50" t="n">
        <x:v>10</x:v>
      </x:c>
      <x:c r="AH141" s="57" t="n">
        <x:v>0</x:v>
      </x:c>
    </x:row>
    <x:row r="142" ht="34" customHeight="1">
      <x:c r="A142" s="87" t="n">
        <x:v>140</x:v>
      </x:c>
      <x:c r="B142" s="88" t="str">
        <x:f>IF(C142&gt;=82,"A"&amp;1&amp;" — kontakt natychmiast",IF(C142&gt;=72,"A"&amp;2&amp;" — kontakt w 7 dni",IF(C142&gt;=58,"B — kampania regionalna",IF(C142&gt;=42,"C — weryfikacja i nurturing","D — niski priorytet/wykluczyć"))))</x:f>
        <x:v>B — kampania regionalna</x:v>
      </x:c>
      <x:c r="C142" s="88" t="n">
        <x:f>MAX(0,MIN(100,SUM(AB142:AG142)-AH142))</x:f>
        <x:v>66</x:v>
      </x:c>
      <x:c r="D142" s="62" t="str">
        <x:v>Ubuy</x:v>
      </x:c>
      <x:c r="E142" s="62" t="str">
        <x:v>Potencjalny reseller / odbiorca hurtowy</x:v>
      </x:c>
      <x:c r="F142" s="62" t="str">
        <x:v>S1 — RYO/MYO, gilzy i nabijarki</x:v>
      </x:c>
      <x:c r="G142" s="62" t="str">
        <x:v>Marketplace/sprzedawca online</x:v>
      </x:c>
      <x:c r="H142" s="62" t="str">
        <x:v>Nieustalony</x:v>
      </x:c>
      <x:c r="I142" s="62" t="str"/>
      <x:c r="J142" s="62" t="str">
        <x:v>Nieustalona</x:v>
      </x:c>
      <x:c r="K142" s="62" t="str"/>
      <x:c r="L142" s="62" t="str"/>
      <x:c r="M142" s="62" t="str"/>
      <x:c r="N142" s="62" t="str"/>
      <x:c r="O142" s="62" t="str">
        <x:v>https://www.ubuy.com.pl</x:v>
      </x:c>
      <x:c r="P142" s="62" t="str">
        <x:v>Poland (Domain)</x:v>
      </x:c>
      <x:c r="Q142" s="62" t="str"/>
      <x:c r="R142" s="62" t="str"/>
      <x:c r="S142" s="62" t="str">
        <x:v>Nabijarki &amp; Zwijarki | Generic | Powermatic | Marketplace</x:v>
      </x:c>
      <x:c r="T142" s="62" t="str">
        <x:f>IF(AND(K142&lt;&gt;"",L142&lt;&gt;"",O142&lt;&gt;""),"Pełny",IF(OR(K142&lt;&gt;"",L142&lt;&gt;""),"Częściowy","Brak bezpośredniego kontaktu"))</x:f>
        <x:v>Brak bezpośredniego kontaktu</x:v>
      </x:c>
      <x:c r="U142" s="62" t="str">
        <x:v>Nowy</x:v>
      </x:c>
      <x:c r="V142" s="62" t="str">
        <x:v>BILLS — hurt@bills.pl</x:v>
      </x:c>
      <x:c r="W142" s="62" t="str">
        <x:v>Dodać do kampanii regionalnej i wykonać follow-up telefoniczny</x:v>
      </x:c>
      <x:c r="X142" s="81" t="n">
        <x:f>IF(C142&gt;=82,'Model scoringu'!$B$4,IF(C142&gt;=72,'Model scoringu'!$B$5,IF(C142&gt;=58,'Model scoringu'!$B$6,"")))</x:f>
        <x:v>46234</x:v>
      </x:c>
      <x:c r="Y142" s="62" t="str">
        <x:v>Bezpośrednie dopasowanie do ryo/myo, gilz lub nabijarek.</x:v>
      </x:c>
      <x:c r="Z142" s="62" t="str">
        <x:v>https://www.ubuy.com.pl</x:v>
      </x:c>
      <x:c r="AA142" s="62" t="str">
        <x:v>Status źródłowy: Aktywny</x:v>
      </x:c>
      <x:c r="AB142" s="50" t="n">
        <x:v>30</x:v>
      </x:c>
      <x:c r="AC142" s="50" t="n">
        <x:v>9</x:v>
      </x:c>
      <x:c r="AD142" s="50" t="n">
        <x:v>7</x:v>
      </x:c>
      <x:c r="AE142" s="50" t="n">
        <x:v>5</x:v>
      </x:c>
      <x:c r="AF142" s="50" t="n">
        <x:v>8</x:v>
      </x:c>
      <x:c r="AG142" s="50" t="n">
        <x:v>7</x:v>
      </x:c>
      <x:c r="AH142" s="57" t="n">
        <x:v>0</x:v>
      </x:c>
    </x:row>
    <x:row r="143" ht="34" customHeight="1">
      <x:c r="A143" s="87" t="n">
        <x:v>141</x:v>
      </x:c>
      <x:c r="B143" s="88" t="str">
        <x:f>IF(C143&gt;=82,"A"&amp;1&amp;" — kontakt natychmiast",IF(C143&gt;=72,"A"&amp;2&amp;" — kontakt w 7 dni",IF(C143&gt;=58,"B — kampania regionalna",IF(C143&gt;=42,"C — weryfikacja i nurturing","D — niski priorytet/wykluczyć"))))</x:f>
        <x:v>B — kampania regionalna</x:v>
      </x:c>
      <x:c r="C143" s="88" t="n">
        <x:f>MAX(0,MIN(100,SUM(AB143:AG143)-AH143))</x:f>
        <x:v>66</x:v>
      </x:c>
      <x:c r="D143" s="62" t="str">
        <x:v>Drek Hurtownia Gilz</x:v>
      </x:c>
      <x:c r="E143" s="62" t="str">
        <x:v>Potencjalny reseller / odbiorca hurtowy</x:v>
      </x:c>
      <x:c r="F143" s="62" t="str">
        <x:v>S2 — Hurtownie tytoniowe/FMCG</x:v>
      </x:c>
      <x:c r="G143" s="62" t="str">
        <x:v>Hurt ogólnopolski</x:v>
      </x:c>
      <x:c r="H143" s="62" t="str">
        <x:v>Mazowieckie</x:v>
      </x:c>
      <x:c r="I143" s="62" t="str">
        <x:v>Radom</x:v>
      </x:c>
      <x:c r="J143" s="62" t="str">
        <x:v>Nieustalona</x:v>
      </x:c>
      <x:c r="K143" s="62" t="str"/>
      <x:c r="L143" s="62" t="str">
        <x:v>504 083 360</x:v>
      </x:c>
      <x:c r="M143" s="62" t="str"/>
      <x:c r="N143" s="62" t="str"/>
      <x:c r="O143" s="62" t="str"/>
      <x:c r="P143" s="62" t="str"/>
      <x:c r="Q143" s="62" t="str"/>
      <x:c r="R143" s="62" t="str"/>
      <x:c r="S143" s="62" t="str">
        <x:v>Akcesoria | Tytoń</x:v>
      </x:c>
      <x:c r="T143" s="62" t="str">
        <x:f>IF(AND(K143&lt;&gt;"",L143&lt;&gt;"",O143&lt;&gt;""),"Pełny",IF(OR(K143&lt;&gt;"",L143&lt;&gt;""),"Częściowy","Brak bezpośredniego kontaktu"))</x:f>
        <x:v>Częściowy</x:v>
      </x:c>
      <x:c r="U143" s="62" t="str">
        <x:v>Nowy</x:v>
      </x:c>
      <x:c r="V143" s="62" t="str">
        <x:v>BILLS — hurt@bills.pl</x:v>
      </x:c>
      <x:c r="W143" s="62" t="str">
        <x:v>Dodać do kampanii regionalnej i wykonać follow-up telefoniczny</x:v>
      </x:c>
      <x:c r="X143" s="81" t="n">
        <x:f>IF(C143&gt;=82,'Model scoringu'!$B$4,IF(C143&gt;=72,'Model scoringu'!$B$5,IF(C143&gt;=58,'Model scoringu'!$B$6,"")))</x:f>
        <x:v>46234</x:v>
      </x:c>
      <x:c r="Y143" s="62" t="str">
        <x:v>Dostęp do sklepów tytoniowych i tradycyjnego handlu; zasięg ponadregionalny.</x:v>
      </x:c>
      <x:c r="Z143" s="62" t="str"/>
      <x:c r="AA143" s="62" t="str">
        <x:v>Dostawy ogólnopolskie</x:v>
      </x:c>
      <x:c r="AB143" s="50" t="n">
        <x:v>22</x:v>
      </x:c>
      <x:c r="AC143" s="50" t="n">
        <x:v>18</x:v>
      </x:c>
      <x:c r="AD143" s="50" t="n">
        <x:v>7</x:v>
      </x:c>
      <x:c r="AE143" s="50" t="n">
        <x:v>4</x:v>
      </x:c>
      <x:c r="AF143" s="50" t="n">
        <x:v>10</x:v>
      </x:c>
      <x:c r="AG143" s="50" t="n">
        <x:v>5</x:v>
      </x:c>
      <x:c r="AH143" s="57" t="n">
        <x:v>0</x:v>
      </x:c>
    </x:row>
    <x:row r="144" ht="34" customHeight="1">
      <x:c r="A144" s="87" t="n">
        <x:v>142</x:v>
      </x:c>
      <x:c r="B144" s="88" t="str">
        <x:f>IF(C144&gt;=82,"A"&amp;1&amp;" — kontakt natychmiast",IF(C144&gt;=72,"A"&amp;2&amp;" — kontakt w 7 dni",IF(C144&gt;=58,"B — kampania regionalna",IF(C144&gt;=42,"C — weryfikacja i nurturing","D — niski priorytet/wykluczyć"))))</x:f>
        <x:v>B — kampania regionalna</x:v>
      </x:c>
      <x:c r="C144" s="88" t="n">
        <x:f>MAX(0,MIN(100,SUM(AB144:AG144)-AH144))</x:f>
        <x:v>65</x:v>
      </x:c>
      <x:c r="D144" s="62" t="str">
        <x:v>Allegro: zico_tabak</x:v>
      </x:c>
      <x:c r="E144" s="62" t="str">
        <x:v>Potencjalny reseller / odbiorca hurtowy</x:v>
      </x:c>
      <x:c r="F144" s="62" t="str">
        <x:v>S1 — RYO/MYO, gilzy i nabijarki</x:v>
      </x:c>
      <x:c r="G144" s="62" t="str">
        <x:v>Marketplace/sprzedawca online</x:v>
      </x:c>
      <x:c r="H144" s="62" t="str">
        <x:v>Ogólnopolska</x:v>
      </x:c>
      <x:c r="I144" s="62" t="str"/>
      <x:c r="J144" s="62" t="str">
        <x:v>Nieustalona</x:v>
      </x:c>
      <x:c r="K144" s="62" t="str"/>
      <x:c r="L144" s="62" t="str"/>
      <x:c r="M144" s="62" t="str"/>
      <x:c r="N144" s="62" t="str"/>
      <x:c r="O144" s="62" t="str">
        <x:v>https://allegro.pl/uzytkownik/zico_tabak</x:v>
      </x:c>
      <x:c r="P144" s="62" t="str"/>
      <x:c r="Q144" s="62" t="str"/>
      <x:c r="R144" s="62" t="str"/>
      <x:c r="S144" s="62" t="str">
        <x:v>Nabijarki | Akcesoria | Mascotte | Guliwer | Sprzedawca Allegro</x:v>
      </x:c>
      <x:c r="T144" s="62" t="str">
        <x:f>IF(AND(K144&lt;&gt;"",L144&lt;&gt;"",O144&lt;&gt;""),"Pełny",IF(OR(K144&lt;&gt;"",L144&lt;&gt;""),"Częściowy","Brak bezpośredniego kontaktu"))</x:f>
        <x:v>Brak bezpośredniego kontaktu</x:v>
      </x:c>
      <x:c r="U144" s="62" t="str">
        <x:v>Nowy</x:v>
      </x:c>
      <x:c r="V144" s="62" t="str">
        <x:v>BILLS — hurt@bills.pl</x:v>
      </x:c>
      <x:c r="W144" s="62" t="str">
        <x:v>Dodać do kampanii regionalnej i wykonać follow-up telefoniczny</x:v>
      </x:c>
      <x:c r="X144" s="81" t="n">
        <x:f>IF(C144&gt;=82,'Model scoringu'!$B$4,IF(C144&gt;=72,'Model scoringu'!$B$5,IF(C144&gt;=58,'Model scoringu'!$B$6,"")))</x:f>
        <x:v>46234</x:v>
      </x:c>
      <x:c r="Y144" s="62" t="str">
        <x:v>Bezpośrednie dopasowanie do ryo/myo, gilz lub nabijarek; zasięg ponadregionalny.</x:v>
      </x:c>
      <x:c r="Z144" s="62" t="str">
        <x:v>https://allegro.pl/uzytkownik/zico_tabak</x:v>
      </x:c>
      <x:c r="AA144" s="62" t="str">
        <x:v>Konto związane z trafiką, oferuje Mascotte, Guliwer. | Status źródłowy: Niezweryfikowany</x:v>
      </x:c>
      <x:c r="AB144" s="50" t="n">
        <x:v>30</x:v>
      </x:c>
      <x:c r="AC144" s="50" t="n">
        <x:v>9</x:v>
      </x:c>
      <x:c r="AD144" s="50" t="n">
        <x:v>15</x:v>
      </x:c>
      <x:c r="AE144" s="50" t="n">
        <x:v>3</x:v>
      </x:c>
      <x:c r="AF144" s="50" t="n">
        <x:v>3</x:v>
      </x:c>
      <x:c r="AG144" s="50" t="n">
        <x:v>10</x:v>
      </x:c>
      <x:c r="AH144" s="57" t="n">
        <x:v>5</x:v>
      </x:c>
    </x:row>
    <x:row r="145" ht="34" customHeight="1">
      <x:c r="A145" s="87" t="n">
        <x:v>143</x:v>
      </x:c>
      <x:c r="B145" s="88" t="str">
        <x:f>IF(C145&gt;=82,"A"&amp;1&amp;" — kontakt natychmiast",IF(C145&gt;=72,"A"&amp;2&amp;" — kontakt w 7 dni",IF(C145&gt;=58,"B — kampania regionalna",IF(C145&gt;=42,"C — weryfikacja i nurturing","D — niski priorytet/wykluczyć"))))</x:f>
        <x:v>B — kampania regionalna</x:v>
      </x:c>
      <x:c r="C145" s="88" t="n">
        <x:f>MAX(0,MIN(100,SUM(AB145:AG145)-AH145))</x:f>
        <x:v>65</x:v>
      </x:c>
      <x:c r="D145" s="62" t="str">
        <x:v>Allegro: sstrzelec</x:v>
      </x:c>
      <x:c r="E145" s="62" t="str">
        <x:v>Potencjalny reseller / odbiorca hurtowy</x:v>
      </x:c>
      <x:c r="F145" s="62" t="str">
        <x:v>S1 — RYO/MYO, gilzy i nabijarki</x:v>
      </x:c>
      <x:c r="G145" s="62" t="str">
        <x:v>Marketplace/sprzedawca online</x:v>
      </x:c>
      <x:c r="H145" s="62" t="str">
        <x:v>Ogólnopolska</x:v>
      </x:c>
      <x:c r="I145" s="62" t="str"/>
      <x:c r="J145" s="62" t="str">
        <x:v>Nieustalona</x:v>
      </x:c>
      <x:c r="K145" s="62" t="str"/>
      <x:c r="L145" s="62" t="str"/>
      <x:c r="M145" s="62" t="str"/>
      <x:c r="N145" s="62" t="str"/>
      <x:c r="O145" s="62" t="str">
        <x:v>https://allegro.pl/uzytkownik/sstrzelec</x:v>
      </x:c>
      <x:c r="P145" s="62" t="str"/>
      <x:c r="Q145" s="62" t="str"/>
      <x:c r="R145" s="62" t="str"/>
      <x:c r="S145" s="62" t="str">
        <x:v>Nabijarki | Akcesoria | OCB | Mascotte | Kompan | Sprzedawca Allegro</x:v>
      </x:c>
      <x:c r="T145" s="62" t="str">
        <x:f>IF(AND(K145&lt;&gt;"",L145&lt;&gt;"",O145&lt;&gt;""),"Pełny",IF(OR(K145&lt;&gt;"",L145&lt;&gt;""),"Częściowy","Brak bezpośredniego kontaktu"))</x:f>
        <x:v>Brak bezpośredniego kontaktu</x:v>
      </x:c>
      <x:c r="U145" s="62" t="str">
        <x:v>Nowy</x:v>
      </x:c>
      <x:c r="V145" s="62" t="str">
        <x:v>BILLS — hurt@bills.pl</x:v>
      </x:c>
      <x:c r="W145" s="62" t="str">
        <x:v>Dodać do kampanii regionalnej i wykonać follow-up telefoniczny</x:v>
      </x:c>
      <x:c r="X145" s="81" t="n">
        <x:f>IF(C145&gt;=82,'Model scoringu'!$B$4,IF(C145&gt;=72,'Model scoringu'!$B$5,IF(C145&gt;=58,'Model scoringu'!$B$6,"")))</x:f>
        <x:v>46234</x:v>
      </x:c>
      <x:c r="Y145" s="62" t="str">
        <x:v>Bezpośrednie dopasowanie do ryo/myo, gilz lub nabijarek; zasięg ponadregionalny.</x:v>
      </x:c>
      <x:c r="Z145" s="62" t="str">
        <x:v>https://allegro.pl/uzytkownik/sstrzelec</x:v>
      </x:c>
      <x:c r="AA145" s="62" t="str">
        <x:v>Specjalistyczny sprzedawca z ofertą OCB Mikromatic, Mascotte, Kompan. Tysiące ocen, Super Sprzedawca. | Status źródłowy: Niezweryfikowany</x:v>
      </x:c>
      <x:c r="AB145" s="50" t="n">
        <x:v>30</x:v>
      </x:c>
      <x:c r="AC145" s="50" t="n">
        <x:v>9</x:v>
      </x:c>
      <x:c r="AD145" s="50" t="n">
        <x:v>15</x:v>
      </x:c>
      <x:c r="AE145" s="50" t="n">
        <x:v>3</x:v>
      </x:c>
      <x:c r="AF145" s="50" t="n">
        <x:v>3</x:v>
      </x:c>
      <x:c r="AG145" s="50" t="n">
        <x:v>10</x:v>
      </x:c>
      <x:c r="AH145" s="57" t="n">
        <x:v>5</x:v>
      </x:c>
    </x:row>
    <x:row r="146" ht="34" customHeight="1">
      <x:c r="A146" s="87" t="n">
        <x:v>144</x:v>
      </x:c>
      <x:c r="B146" s="88" t="str">
        <x:f>IF(C146&gt;=82,"A"&amp;1&amp;" — kontakt natychmiast",IF(C146&gt;=72,"A"&amp;2&amp;" — kontakt w 7 dni",IF(C146&gt;=58,"B — kampania regionalna",IF(C146&gt;=42,"C — weryfikacja i nurturing","D — niski priorytet/wykluczyć"))))</x:f>
        <x:v>B — kampania regionalna</x:v>
      </x:c>
      <x:c r="C146" s="88" t="n">
        <x:f>MAX(0,MIN(100,SUM(AB146:AG146)-AH146))</x:f>
        <x:v>65</x:v>
      </x:c>
      <x:c r="D146" s="62" t="str">
        <x:v>Allegro: retoo</x:v>
      </x:c>
      <x:c r="E146" s="62" t="str">
        <x:v>Potencjalny reseller / odbiorca hurtowy</x:v>
      </x:c>
      <x:c r="F146" s="62" t="str">
        <x:v>S1 — RYO/MYO, gilzy i nabijarki</x:v>
      </x:c>
      <x:c r="G146" s="62" t="str">
        <x:v>Marketplace/sprzedawca online</x:v>
      </x:c>
      <x:c r="H146" s="62" t="str">
        <x:v>Ogólnopolska</x:v>
      </x:c>
      <x:c r="I146" s="62" t="str"/>
      <x:c r="J146" s="62" t="str">
        <x:v>Nieustalona</x:v>
      </x:c>
      <x:c r="K146" s="62" t="str"/>
      <x:c r="L146" s="62" t="str"/>
      <x:c r="M146" s="62" t="str"/>
      <x:c r="N146" s="62" t="str"/>
      <x:c r="O146" s="62" t="str">
        <x:v>https://allegro.pl/uzytkownik/retoo</x:v>
      </x:c>
      <x:c r="P146" s="62" t="str"/>
      <x:c r="Q146" s="62" t="str"/>
      <x:c r="R146" s="62" t="str"/>
      <x:c r="S146" s="62" t="str">
        <x:v>Nabijarki | Akcesoria | Sprzedawca Allegro</x:v>
      </x:c>
      <x:c r="T146" s="62" t="str">
        <x:f>IF(AND(K146&lt;&gt;"",L146&lt;&gt;"",O146&lt;&gt;""),"Pełny",IF(OR(K146&lt;&gt;"",L146&lt;&gt;""),"Częściowy","Brak bezpośredniego kontaktu"))</x:f>
        <x:v>Brak bezpośredniego kontaktu</x:v>
      </x:c>
      <x:c r="U146" s="62" t="str">
        <x:v>Nowy</x:v>
      </x:c>
      <x:c r="V146" s="62" t="str">
        <x:v>BILLS — hurt@bills.pl</x:v>
      </x:c>
      <x:c r="W146" s="62" t="str">
        <x:v>Dodać do kampanii regionalnej i wykonać follow-up telefoniczny</x:v>
      </x:c>
      <x:c r="X146" s="81" t="n">
        <x:f>IF(C146&gt;=82,'Model scoringu'!$B$4,IF(C146&gt;=72,'Model scoringu'!$B$5,IF(C146&gt;=58,'Model scoringu'!$B$6,"")))</x:f>
        <x:v>46234</x:v>
      </x:c>
      <x:c r="Y146" s="62" t="str">
        <x:v>Bezpośrednie dopasowanie do ryo/myo, gilz lub nabijarek; zasięg ponadregionalny.</x:v>
      </x:c>
      <x:c r="Z146" s="62" t="str">
        <x:v>https://allegro.pl/uzytkownik/retoo</x:v>
      </x:c>
      <x:c r="AA146" s="62" t="str">
        <x:v>Duży sprzedawca użytkowy, tanie modele elektryczne. Duży wolumen, mniej branżowy. | Status źródłowy: Niezweryfikowany</x:v>
      </x:c>
      <x:c r="AB146" s="50" t="n">
        <x:v>30</x:v>
      </x:c>
      <x:c r="AC146" s="50" t="n">
        <x:v>9</x:v>
      </x:c>
      <x:c r="AD146" s="50" t="n">
        <x:v>15</x:v>
      </x:c>
      <x:c r="AE146" s="50" t="n">
        <x:v>3</x:v>
      </x:c>
      <x:c r="AF146" s="50" t="n">
        <x:v>3</x:v>
      </x:c>
      <x:c r="AG146" s="50" t="n">
        <x:v>10</x:v>
      </x:c>
      <x:c r="AH146" s="57" t="n">
        <x:v>5</x:v>
      </x:c>
    </x:row>
    <x:row r="147" ht="34" customHeight="1">
      <x:c r="A147" s="87" t="n">
        <x:v>145</x:v>
      </x:c>
      <x:c r="B147" s="88" t="str">
        <x:f>IF(C147&gt;=82,"A"&amp;1&amp;" — kontakt natychmiast",IF(C147&gt;=72,"A"&amp;2&amp;" — kontakt w 7 dni",IF(C147&gt;=58,"B — kampania regionalna",IF(C147&gt;=42,"C — weryfikacja i nurturing","D — niski priorytet/wykluczyć"))))</x:f>
        <x:v>B — kampania regionalna</x:v>
      </x:c>
      <x:c r="C147" s="88" t="n">
        <x:f>MAX(0,MIN(100,SUM(AB147:AG147)-AH147))</x:f>
        <x:v>65</x:v>
      </x:c>
      <x:c r="D147" s="62" t="str">
        <x:v>Allegro: przykasowe</x:v>
      </x:c>
      <x:c r="E147" s="62" t="str">
        <x:v>Potencjalny reseller / odbiorca hurtowy</x:v>
      </x:c>
      <x:c r="F147" s="62" t="str">
        <x:v>S1 — RYO/MYO, gilzy i nabijarki</x:v>
      </x:c>
      <x:c r="G147" s="62" t="str">
        <x:v>Marketplace/sprzedawca online</x:v>
      </x:c>
      <x:c r="H147" s="62" t="str">
        <x:v>Ogólnopolska</x:v>
      </x:c>
      <x:c r="I147" s="62" t="str"/>
      <x:c r="J147" s="62" t="str">
        <x:v>Nieustalona</x:v>
      </x:c>
      <x:c r="K147" s="62" t="str"/>
      <x:c r="L147" s="62" t="str"/>
      <x:c r="M147" s="62" t="str"/>
      <x:c r="N147" s="62" t="str"/>
      <x:c r="O147" s="62" t="str">
        <x:v>https://allegro.pl/uzytkownik/przykasowe</x:v>
      </x:c>
      <x:c r="P147" s="62" t="str"/>
      <x:c r="Q147" s="62" t="str"/>
      <x:c r="R147" s="62" t="str"/>
      <x:c r="S147" s="62" t="str">
        <x:v>Nabijarki | Akcesoria | Mascotte | Kompan | Matteo | Sprzedawca Allegro</x:v>
      </x:c>
      <x:c r="T147" s="62" t="str">
        <x:f>IF(AND(K147&lt;&gt;"",L147&lt;&gt;"",O147&lt;&gt;""),"Pełny",IF(OR(K147&lt;&gt;"",L147&lt;&gt;""),"Częściowy","Brak bezpośredniego kontaktu"))</x:f>
        <x:v>Brak bezpośredniego kontaktu</x:v>
      </x:c>
      <x:c r="U147" s="62" t="str">
        <x:v>Nowy</x:v>
      </x:c>
      <x:c r="V147" s="62" t="str">
        <x:v>BILLS — hurt@bills.pl</x:v>
      </x:c>
      <x:c r="W147" s="62" t="str">
        <x:v>Dodać do kampanii regionalnej i wykonać follow-up telefoniczny</x:v>
      </x:c>
      <x:c r="X147" s="81" t="n">
        <x:f>IF(C147&gt;=82,'Model scoringu'!$B$4,IF(C147&gt;=72,'Model scoringu'!$B$5,IF(C147&gt;=58,'Model scoringu'!$B$6,"")))</x:f>
        <x:v>46234</x:v>
      </x:c>
      <x:c r="Y147" s="62" t="str">
        <x:v>Bezpośrednie dopasowanie do ryo/myo, gilz lub nabijarek; zasięg ponadregionalny.</x:v>
      </x:c>
      <x:c r="Z147" s="62" t="str">
        <x:v>https://allegro.pl/uzytkownik/przykasowe</x:v>
      </x:c>
      <x:c r="AA147" s="62" t="str">
        <x:v>Szeroki zestaw produktów Mascotte, Kompan, Matteo. | Status źródłowy: Niezweryfikowany</x:v>
      </x:c>
      <x:c r="AB147" s="50" t="n">
        <x:v>30</x:v>
      </x:c>
      <x:c r="AC147" s="50" t="n">
        <x:v>9</x:v>
      </x:c>
      <x:c r="AD147" s="50" t="n">
        <x:v>15</x:v>
      </x:c>
      <x:c r="AE147" s="50" t="n">
        <x:v>3</x:v>
      </x:c>
      <x:c r="AF147" s="50" t="n">
        <x:v>3</x:v>
      </x:c>
      <x:c r="AG147" s="50" t="n">
        <x:v>10</x:v>
      </x:c>
      <x:c r="AH147" s="57" t="n">
        <x:v>5</x:v>
      </x:c>
    </x:row>
    <x:row r="148" ht="34" customHeight="1">
      <x:c r="A148" s="87" t="n">
        <x:v>146</x:v>
      </x:c>
      <x:c r="B148" s="88" t="str">
        <x:f>IF(C148&gt;=82,"A"&amp;1&amp;" — kontakt natychmiast",IF(C148&gt;=72,"A"&amp;2&amp;" — kontakt w 7 dni",IF(C148&gt;=58,"B — kampania regionalna",IF(C148&gt;=42,"C — weryfikacja i nurturing","D — niski priorytet/wykluczyć"))))</x:f>
        <x:v>B — kampania regionalna</x:v>
      </x:c>
      <x:c r="C148" s="88" t="n">
        <x:f>MAX(0,MIN(100,SUM(AB148:AG148)-AH148))</x:f>
        <x:v>65</x:v>
      </x:c>
      <x:c r="D148" s="62" t="str">
        <x:v>Allegro: konopny_sklep</x:v>
      </x:c>
      <x:c r="E148" s="62" t="str">
        <x:v>Potencjalny reseller / odbiorca hurtowy</x:v>
      </x:c>
      <x:c r="F148" s="62" t="str">
        <x:v>S1 — RYO/MYO, gilzy i nabijarki</x:v>
      </x:c>
      <x:c r="G148" s="62" t="str">
        <x:v>Marketplace/sprzedawca online</x:v>
      </x:c>
      <x:c r="H148" s="62" t="str">
        <x:v>Ogólnopolska</x:v>
      </x:c>
      <x:c r="I148" s="62" t="str"/>
      <x:c r="J148" s="62" t="str">
        <x:v>Nieustalona</x:v>
      </x:c>
      <x:c r="K148" s="62" t="str"/>
      <x:c r="L148" s="62" t="str"/>
      <x:c r="M148" s="62" t="str"/>
      <x:c r="N148" s="62" t="str"/>
      <x:c r="O148" s="62" t="str">
        <x:v>https://allegro.pl/uzytkownik/konopny_sklep</x:v>
      </x:c>
      <x:c r="P148" s="62" t="str"/>
      <x:c r="Q148" s="62" t="str"/>
      <x:c r="R148" s="62" t="str"/>
      <x:c r="S148" s="62" t="str">
        <x:v>Nabijarki | Akcesoria | OCB | Powermatic | Sprzedawca Allegro</x:v>
      </x:c>
      <x:c r="T148" s="62" t="str">
        <x:f>IF(AND(K148&lt;&gt;"",L148&lt;&gt;"",O148&lt;&gt;""),"Pełny",IF(OR(K148&lt;&gt;"",L148&lt;&gt;""),"Częściowy","Brak bezpośredniego kontaktu"))</x:f>
        <x:v>Brak bezpośredniego kontaktu</x:v>
      </x:c>
      <x:c r="U148" s="62" t="str">
        <x:v>Nowy</x:v>
      </x:c>
      <x:c r="V148" s="62" t="str">
        <x:v>BILLS — hurt@bills.pl</x:v>
      </x:c>
      <x:c r="W148" s="62" t="str">
        <x:v>Dodać do kampanii regionalnej i wykonać follow-up telefoniczny</x:v>
      </x:c>
      <x:c r="X148" s="81" t="n">
        <x:f>IF(C148&gt;=82,'Model scoringu'!$B$4,IF(C148&gt;=72,'Model scoringu'!$B$5,IF(C148&gt;=58,'Model scoringu'!$B$6,"")))</x:f>
        <x:v>46234</x:v>
      </x:c>
      <x:c r="Y148" s="62" t="str">
        <x:v>Bezpośrednie dopasowanie do ryo/myo, gilz lub nabijarek; zasięg ponadregionalny.</x:v>
      </x:c>
      <x:c r="Z148" s="62" t="str">
        <x:v>https://allegro.pl/uzytkownik/konopny_sklep</x:v>
      </x:c>
      <x:c r="AA148" s="62" t="str">
        <x:v>Sprzedaje OCB Mikromatic oraz Powermatic Mini. | Status źródłowy: Niezweryfikowany</x:v>
      </x:c>
      <x:c r="AB148" s="50" t="n">
        <x:v>30</x:v>
      </x:c>
      <x:c r="AC148" s="50" t="n">
        <x:v>9</x:v>
      </x:c>
      <x:c r="AD148" s="50" t="n">
        <x:v>15</x:v>
      </x:c>
      <x:c r="AE148" s="50" t="n">
        <x:v>3</x:v>
      </x:c>
      <x:c r="AF148" s="50" t="n">
        <x:v>3</x:v>
      </x:c>
      <x:c r="AG148" s="50" t="n">
        <x:v>10</x:v>
      </x:c>
      <x:c r="AH148" s="57" t="n">
        <x:v>5</x:v>
      </x:c>
    </x:row>
    <x:row r="149" ht="34" customHeight="1">
      <x:c r="A149" s="87" t="n">
        <x:v>147</x:v>
      </x:c>
      <x:c r="B149" s="88" t="str">
        <x:f>IF(C149&gt;=82,"A"&amp;1&amp;" — kontakt natychmiast",IF(C149&gt;=72,"A"&amp;2&amp;" — kontakt w 7 dni",IF(C149&gt;=58,"B — kampania regionalna",IF(C149&gt;=42,"C — weryfikacja i nurturing","D — niski priorytet/wykluczyć"))))</x:f>
        <x:v>B — kampania regionalna</x:v>
      </x:c>
      <x:c r="C149" s="88" t="n">
        <x:f>MAX(0,MIN(100,SUM(AB149:AG149)-AH149))</x:f>
        <x:v>65</x:v>
      </x:c>
      <x:c r="D149" s="62" t="str">
        <x:v>Allegro: eempire</x:v>
      </x:c>
      <x:c r="E149" s="62" t="str">
        <x:v>Potencjalny reseller / odbiorca hurtowy</x:v>
      </x:c>
      <x:c r="F149" s="62" t="str">
        <x:v>S1 — RYO/MYO, gilzy i nabijarki</x:v>
      </x:c>
      <x:c r="G149" s="62" t="str">
        <x:v>Marketplace/sprzedawca online</x:v>
      </x:c>
      <x:c r="H149" s="62" t="str">
        <x:v>Ogólnopolska</x:v>
      </x:c>
      <x:c r="I149" s="62" t="str"/>
      <x:c r="J149" s="62" t="str">
        <x:v>Nieustalona</x:v>
      </x:c>
      <x:c r="K149" s="62" t="str"/>
      <x:c r="L149" s="62" t="str"/>
      <x:c r="M149" s="62" t="str"/>
      <x:c r="N149" s="62" t="str"/>
      <x:c r="O149" s="62" t="str">
        <x:v>https://allegro.pl/uzytkownik/eempire</x:v>
      </x:c>
      <x:c r="P149" s="62" t="str"/>
      <x:c r="Q149" s="62" t="str"/>
      <x:c r="R149" s="62" t="str"/>
      <x:c r="S149" s="62" t="str">
        <x:v>Nabijarki | Akcesoria | Sprzedawca Allegro</x:v>
      </x:c>
      <x:c r="T149" s="62" t="str">
        <x:f>IF(AND(K149&lt;&gt;"",L149&lt;&gt;"",O149&lt;&gt;""),"Pełny",IF(OR(K149&lt;&gt;"",L149&lt;&gt;""),"Częściowy","Brak bezpośredniego kontaktu"))</x:f>
        <x:v>Brak bezpośredniego kontaktu</x:v>
      </x:c>
      <x:c r="U149" s="62" t="str">
        <x:v>Nowy</x:v>
      </x:c>
      <x:c r="V149" s="62" t="str">
        <x:v>BILLS — hurt@bills.pl</x:v>
      </x:c>
      <x:c r="W149" s="62" t="str">
        <x:v>Dodać do kampanii regionalnej i wykonać follow-up telefoniczny</x:v>
      </x:c>
      <x:c r="X149" s="81" t="n">
        <x:f>IF(C149&gt;=82,'Model scoringu'!$B$4,IF(C149&gt;=72,'Model scoringu'!$B$5,IF(C149&gt;=58,'Model scoringu'!$B$6,"")))</x:f>
        <x:v>46234</x:v>
      </x:c>
      <x:c r="Y149" s="62" t="str">
        <x:v>Bezpośrednie dopasowanie do ryo/myo, gilz lub nabijarek; zasięg ponadregionalny.</x:v>
      </x:c>
      <x:c r="Z149" s="62" t="str">
        <x:v>https://allegro.pl/uzytkownik/eempire</x:v>
      </x:c>
      <x:c r="AA149" s="62" t="str">
        <x:v>Sprzedaje elektryczne i tłokowe urządzenia w cenie ~250 zł. Konkurent / reseller. | Status źródłowy: Niezweryfikowany</x:v>
      </x:c>
      <x:c r="AB149" s="50" t="n">
        <x:v>30</x:v>
      </x:c>
      <x:c r="AC149" s="50" t="n">
        <x:v>9</x:v>
      </x:c>
      <x:c r="AD149" s="50" t="n">
        <x:v>15</x:v>
      </x:c>
      <x:c r="AE149" s="50" t="n">
        <x:v>3</x:v>
      </x:c>
      <x:c r="AF149" s="50" t="n">
        <x:v>3</x:v>
      </x:c>
      <x:c r="AG149" s="50" t="n">
        <x:v>10</x:v>
      </x:c>
      <x:c r="AH149" s="57" t="n">
        <x:v>5</x:v>
      </x:c>
    </x:row>
    <x:row r="150" ht="34" customHeight="1">
      <x:c r="A150" s="87" t="n">
        <x:v>148</x:v>
      </x:c>
      <x:c r="B150" s="88" t="str">
        <x:f>IF(C150&gt;=82,"A"&amp;1&amp;" — kontakt natychmiast",IF(C150&gt;=72,"A"&amp;2&amp;" — kontakt w 7 dni",IF(C150&gt;=58,"B — kampania regionalna",IF(C150&gt;=42,"C — weryfikacja i nurturing","D — niski priorytet/wykluczyć"))))</x:f>
        <x:v>B — kampania regionalna</x:v>
      </x:c>
      <x:c r="C150" s="88" t="n">
        <x:f>MAX(0,MIN(100,SUM(AB150:AG150)-AH150))</x:f>
        <x:v>65</x:v>
      </x:c>
      <x:c r="D150" s="62" t="str">
        <x:v>Allegro: dominikmarket</x:v>
      </x:c>
      <x:c r="E150" s="62" t="str">
        <x:v>Potencjalny reseller / odbiorca hurtowy</x:v>
      </x:c>
      <x:c r="F150" s="62" t="str">
        <x:v>S1 — RYO/MYO, gilzy i nabijarki</x:v>
      </x:c>
      <x:c r="G150" s="62" t="str">
        <x:v>Marketplace/sprzedawca online</x:v>
      </x:c>
      <x:c r="H150" s="62" t="str">
        <x:v>Ogólnopolska</x:v>
      </x:c>
      <x:c r="I150" s="62" t="str"/>
      <x:c r="J150" s="62" t="str">
        <x:v>Nieustalona</x:v>
      </x:c>
      <x:c r="K150" s="62" t="str"/>
      <x:c r="L150" s="62" t="str"/>
      <x:c r="M150" s="62" t="str"/>
      <x:c r="N150" s="62" t="str"/>
      <x:c r="O150" s="62" t="str">
        <x:v>https://allegro.pl/uzytkownik/dominikmarket</x:v>
      </x:c>
      <x:c r="P150" s="62" t="str"/>
      <x:c r="Q150" s="62" t="str"/>
      <x:c r="R150" s="62" t="str"/>
      <x:c r="S150" s="62" t="str">
        <x:v>Nabijarki | Akcesoria | Sprzedawca Allegro</x:v>
      </x:c>
      <x:c r="T150" s="62" t="str">
        <x:f>IF(AND(K150&lt;&gt;"",L150&lt;&gt;"",O150&lt;&gt;""),"Pełny",IF(OR(K150&lt;&gt;"",L150&lt;&gt;""),"Częściowy","Brak bezpośredniego kontaktu"))</x:f>
        <x:v>Brak bezpośredniego kontaktu</x:v>
      </x:c>
      <x:c r="U150" s="62" t="str">
        <x:v>Nowy</x:v>
      </x:c>
      <x:c r="V150" s="62" t="str">
        <x:v>BILLS — hurt@bills.pl</x:v>
      </x:c>
      <x:c r="W150" s="62" t="str">
        <x:v>Dodać do kampanii regionalnej i wykonać follow-up telefoniczny</x:v>
      </x:c>
      <x:c r="X150" s="81" t="n">
        <x:f>IF(C150&gt;=82,'Model scoringu'!$B$4,IF(C150&gt;=72,'Model scoringu'!$B$5,IF(C150&gt;=58,'Model scoringu'!$B$6,"")))</x:f>
        <x:v>46234</x:v>
      </x:c>
      <x:c r="Y150" s="62" t="str">
        <x:v>Bezpośrednie dopasowanie do ryo/myo, gilz lub nabijarek; zasięg ponadregionalny.</x:v>
      </x:c>
      <x:c r="Z150" s="62" t="str">
        <x:v>https://allegro.pl/uzytkownik/dominikmarket</x:v>
      </x:c>
      <x:c r="AA150" s="62" t="str">
        <x:v>Wysoka sprzedaż jednej z nabijarek. Warto zbadać hurt/źródła. | Status źródłowy: Niezweryfikowany</x:v>
      </x:c>
      <x:c r="AB150" s="50" t="n">
        <x:v>30</x:v>
      </x:c>
      <x:c r="AC150" s="50" t="n">
        <x:v>9</x:v>
      </x:c>
      <x:c r="AD150" s="50" t="n">
        <x:v>15</x:v>
      </x:c>
      <x:c r="AE150" s="50" t="n">
        <x:v>3</x:v>
      </x:c>
      <x:c r="AF150" s="50" t="n">
        <x:v>3</x:v>
      </x:c>
      <x:c r="AG150" s="50" t="n">
        <x:v>10</x:v>
      </x:c>
      <x:c r="AH150" s="57" t="n">
        <x:v>5</x:v>
      </x:c>
    </x:row>
    <x:row r="151" ht="34" customHeight="1">
      <x:c r="A151" s="87" t="n">
        <x:v>149</x:v>
      </x:c>
      <x:c r="B151" s="88" t="str">
        <x:f>IF(C151&gt;=82,"A"&amp;1&amp;" — kontakt natychmiast",IF(C151&gt;=72,"A"&amp;2&amp;" — kontakt w 7 dni",IF(C151&gt;=58,"B — kampania regionalna",IF(C151&gt;=42,"C — weryfikacja i nurturing","D — niski priorytet/wykluczyć"))))</x:f>
        <x:v>B — kampania regionalna</x:v>
      </x:c>
      <x:c r="C151" s="88" t="n">
        <x:f>MAX(0,MIN(100,SUM(AB151:AG151)-AH151))</x:f>
        <x:v>65</x:v>
      </x:c>
      <x:c r="D151" s="62" t="str">
        <x:v>Allegro: Weed4u</x:v>
      </x:c>
      <x:c r="E151" s="62" t="str">
        <x:v>Potencjalny reseller / odbiorca hurtowy</x:v>
      </x:c>
      <x:c r="F151" s="62" t="str">
        <x:v>S1 — RYO/MYO, gilzy i nabijarki</x:v>
      </x:c>
      <x:c r="G151" s="62" t="str">
        <x:v>Marketplace/sprzedawca online</x:v>
      </x:c>
      <x:c r="H151" s="62" t="str">
        <x:v>Ogólnopolska</x:v>
      </x:c>
      <x:c r="I151" s="62" t="str"/>
      <x:c r="J151" s="62" t="str">
        <x:v>Nieustalona</x:v>
      </x:c>
      <x:c r="K151" s="62" t="str"/>
      <x:c r="L151" s="62" t="str"/>
      <x:c r="M151" s="62" t="str"/>
      <x:c r="N151" s="62" t="str"/>
      <x:c r="O151" s="62" t="str">
        <x:v>https://allegro.pl/uzytkownik/Weed4u</x:v>
      </x:c>
      <x:c r="P151" s="62" t="str"/>
      <x:c r="Q151" s="62" t="str"/>
      <x:c r="R151" s="62" t="str"/>
      <x:c r="S151" s="62" t="str">
        <x:v>Nabijarki | Akcesoria | Mascotte | Kompan | Sprzedawca Allegro</x:v>
      </x:c>
      <x:c r="T151" s="62" t="str">
        <x:f>IF(AND(K151&lt;&gt;"",L151&lt;&gt;"",O151&lt;&gt;""),"Pełny",IF(OR(K151&lt;&gt;"",L151&lt;&gt;""),"Częściowy","Brak bezpośredniego kontaktu"))</x:f>
        <x:v>Brak bezpośredniego kontaktu</x:v>
      </x:c>
      <x:c r="U151" s="62" t="str">
        <x:v>Nowy</x:v>
      </x:c>
      <x:c r="V151" s="62" t="str">
        <x:v>BILLS — hurt@bills.pl</x:v>
      </x:c>
      <x:c r="W151" s="62" t="str">
        <x:v>Dodać do kampanii regionalnej i wykonać follow-up telefoniczny</x:v>
      </x:c>
      <x:c r="X151" s="81" t="n">
        <x:f>IF(C151&gt;=82,'Model scoringu'!$B$4,IF(C151&gt;=72,'Model scoringu'!$B$5,IF(C151&gt;=58,'Model scoringu'!$B$6,"")))</x:f>
        <x:v>46234</x:v>
      </x:c>
      <x:c r="Y151" s="62" t="str">
        <x:v>Bezpośrednie dopasowanie do ryo/myo, gilz lub nabijarek; zasięg ponadregionalny.</x:v>
      </x:c>
      <x:c r="Z151" s="62" t="str">
        <x:v>https://allegro.pl/uzytkownik/Weed4u</x:v>
      </x:c>
      <x:c r="AA151" s="62" t="str">
        <x:v>Ręczne Mascotte i Kompan. Baza do upsellu na elektryki. | Status źródłowy: Niezweryfikowany</x:v>
      </x:c>
      <x:c r="AB151" s="50" t="n">
        <x:v>30</x:v>
      </x:c>
      <x:c r="AC151" s="50" t="n">
        <x:v>9</x:v>
      </x:c>
      <x:c r="AD151" s="50" t="n">
        <x:v>15</x:v>
      </x:c>
      <x:c r="AE151" s="50" t="n">
        <x:v>3</x:v>
      </x:c>
      <x:c r="AF151" s="50" t="n">
        <x:v>3</x:v>
      </x:c>
      <x:c r="AG151" s="50" t="n">
        <x:v>10</x:v>
      </x:c>
      <x:c r="AH151" s="57" t="n">
        <x:v>5</x:v>
      </x:c>
    </x:row>
    <x:row r="152" ht="34" customHeight="1">
      <x:c r="A152" s="87" t="n">
        <x:v>150</x:v>
      </x:c>
      <x:c r="B152" s="88" t="str">
        <x:f>IF(C152&gt;=82,"A"&amp;1&amp;" — kontakt natychmiast",IF(C152&gt;=72,"A"&amp;2&amp;" — kontakt w 7 dni",IF(C152&gt;=58,"B — kampania regionalna",IF(C152&gt;=42,"C — weryfikacja i nurturing","D — niski priorytet/wykluczyć"))))</x:f>
        <x:v>B — kampania regionalna</x:v>
      </x:c>
      <x:c r="C152" s="88" t="n">
        <x:f>MAX(0,MIN(100,SUM(AB152:AG152)-AH152))</x:f>
        <x:v>65</x:v>
      </x:c>
      <x:c r="D152" s="62" t="str">
        <x:v>Allegro: NABIJARKI_pl</x:v>
      </x:c>
      <x:c r="E152" s="62" t="str">
        <x:v>Potencjalny reseller / odbiorca hurtowy</x:v>
      </x:c>
      <x:c r="F152" s="62" t="str">
        <x:v>S1 — RYO/MYO, gilzy i nabijarki</x:v>
      </x:c>
      <x:c r="G152" s="62" t="str">
        <x:v>Marketplace/sprzedawca online</x:v>
      </x:c>
      <x:c r="H152" s="62" t="str">
        <x:v>Ogólnopolska</x:v>
      </x:c>
      <x:c r="I152" s="62" t="str"/>
      <x:c r="J152" s="62" t="str">
        <x:v>Nieustalona</x:v>
      </x:c>
      <x:c r="K152" s="62" t="str"/>
      <x:c r="L152" s="62" t="str"/>
      <x:c r="M152" s="62" t="str"/>
      <x:c r="N152" s="62" t="str"/>
      <x:c r="O152" s="62" t="str">
        <x:v>https://allegro.pl/uzytkownik/NABIJARKI_pl</x:v>
      </x:c>
      <x:c r="P152" s="62" t="str"/>
      <x:c r="Q152" s="62" t="str"/>
      <x:c r="R152" s="62" t="str"/>
      <x:c r="S152" s="62" t="str">
        <x:v>Nabijarki | Akcesoria | Sprzedawca Allegro</x:v>
      </x:c>
      <x:c r="T152" s="62" t="str">
        <x:f>IF(AND(K152&lt;&gt;"",L152&lt;&gt;"",O152&lt;&gt;""),"Pełny",IF(OR(K152&lt;&gt;"",L152&lt;&gt;""),"Częściowy","Brak bezpośredniego kontaktu"))</x:f>
        <x:v>Brak bezpośredniego kontaktu</x:v>
      </x:c>
      <x:c r="U152" s="62" t="str">
        <x:v>Nowy</x:v>
      </x:c>
      <x:c r="V152" s="62" t="str">
        <x:v>BILLS — hurt@bills.pl</x:v>
      </x:c>
      <x:c r="W152" s="62" t="str">
        <x:v>Dodać do kampanii regionalnej i wykonać follow-up telefoniczny</x:v>
      </x:c>
      <x:c r="X152" s="81" t="n">
        <x:f>IF(C152&gt;=82,'Model scoringu'!$B$4,IF(C152&gt;=72,'Model scoringu'!$B$5,IF(C152&gt;=58,'Model scoringu'!$B$6,"")))</x:f>
        <x:v>46234</x:v>
      </x:c>
      <x:c r="Y152" s="62" t="str">
        <x:v>Bezpośrednie dopasowanie do ryo/myo, gilz lub nabijarek; zasięg ponadregionalny.</x:v>
      </x:c>
      <x:c r="Z152" s="62" t="str">
        <x:v>https://allegro.pl/uzytkownik/NABIJARKI_pl</x:v>
      </x:c>
      <x:c r="AA152" s="62" t="str">
        <x:v>Profil specjalistyczny (standard, slim, superslim). | Status źródłowy: Niezweryfikowany</x:v>
      </x:c>
      <x:c r="AB152" s="50" t="n">
        <x:v>30</x:v>
      </x:c>
      <x:c r="AC152" s="50" t="n">
        <x:v>9</x:v>
      </x:c>
      <x:c r="AD152" s="50" t="n">
        <x:v>15</x:v>
      </x:c>
      <x:c r="AE152" s="50" t="n">
        <x:v>3</x:v>
      </x:c>
      <x:c r="AF152" s="50" t="n">
        <x:v>3</x:v>
      </x:c>
      <x:c r="AG152" s="50" t="n">
        <x:v>10</x:v>
      </x:c>
      <x:c r="AH152" s="57" t="n">
        <x:v>5</x:v>
      </x:c>
    </x:row>
    <x:row r="153" ht="34" customHeight="1">
      <x:c r="A153" s="87" t="n">
        <x:v>151</x:v>
      </x:c>
      <x:c r="B153" s="88" t="str">
        <x:f>IF(C153&gt;=82,"A"&amp;1&amp;" — kontakt natychmiast",IF(C153&gt;=72,"A"&amp;2&amp;" — kontakt w 7 dni",IF(C153&gt;=58,"B — kampania regionalna",IF(C153&gt;=42,"C — weryfikacja i nurturing","D — niski priorytet/wykluczyć"))))</x:f>
        <x:v>B — kampania regionalna</x:v>
      </x:c>
      <x:c r="C153" s="88" t="n">
        <x:f>MAX(0,MIN(100,SUM(AB153:AG153)-AH153))</x:f>
        <x:v>65</x:v>
      </x:c>
      <x:c r="D153" s="62" t="str">
        <x:v>Allegro: Flawonoid</x:v>
      </x:c>
      <x:c r="E153" s="62" t="str">
        <x:v>Potencjalny reseller / odbiorca hurtowy</x:v>
      </x:c>
      <x:c r="F153" s="62" t="str">
        <x:v>S1 — RYO/MYO, gilzy i nabijarki</x:v>
      </x:c>
      <x:c r="G153" s="62" t="str">
        <x:v>Marketplace/sprzedawca online</x:v>
      </x:c>
      <x:c r="H153" s="62" t="str">
        <x:v>Ogólnopolska</x:v>
      </x:c>
      <x:c r="I153" s="62" t="str"/>
      <x:c r="J153" s="62" t="str">
        <x:v>Nieustalona</x:v>
      </x:c>
      <x:c r="K153" s="62" t="str"/>
      <x:c r="L153" s="62" t="str"/>
      <x:c r="M153" s="62" t="str"/>
      <x:c r="N153" s="62" t="str"/>
      <x:c r="O153" s="62" t="str">
        <x:v>https://allegro.pl/uzytkownik/Flawonoid</x:v>
      </x:c>
      <x:c r="P153" s="62" t="str"/>
      <x:c r="Q153" s="62" t="str"/>
      <x:c r="R153" s="62" t="str"/>
      <x:c r="S153" s="62" t="str">
        <x:v>Nabijarki | Akcesoria | OCB | Sprzedawca Allegro</x:v>
      </x:c>
      <x:c r="T153" s="62" t="str">
        <x:f>IF(AND(K153&lt;&gt;"",L153&lt;&gt;"",O153&lt;&gt;""),"Pełny",IF(OR(K153&lt;&gt;"",L153&lt;&gt;""),"Częściowy","Brak bezpośredniego kontaktu"))</x:f>
        <x:v>Brak bezpośredniego kontaktu</x:v>
      </x:c>
      <x:c r="U153" s="62" t="str">
        <x:v>Nowy</x:v>
      </x:c>
      <x:c r="V153" s="62" t="str">
        <x:v>BILLS — hurt@bills.pl</x:v>
      </x:c>
      <x:c r="W153" s="62" t="str">
        <x:v>Dodać do kampanii regionalnej i wykonać follow-up telefoniczny</x:v>
      </x:c>
      <x:c r="X153" s="81" t="n">
        <x:f>IF(C153&gt;=82,'Model scoringu'!$B$4,IF(C153&gt;=72,'Model scoringu'!$B$5,IF(C153&gt;=58,'Model scoringu'!$B$6,"")))</x:f>
        <x:v>46234</x:v>
      </x:c>
      <x:c r="Y153" s="62" t="str">
        <x:v>Bezpośrednie dopasowanie do ryo/myo, gilz lub nabijarek; zasięg ponadregionalny.</x:v>
      </x:c>
      <x:c r="Z153" s="62" t="str">
        <x:v>https://allegro.pl/uzytkownik/Flawonoid</x:v>
      </x:c>
      <x:c r="AA153" s="62" t="str">
        <x:v>Oferuje kilka rodzajów nabijarek, w tym OCB Mikromatic. | Status źródłowy: Niezweryfikowany</x:v>
      </x:c>
      <x:c r="AB153" s="50" t="n">
        <x:v>30</x:v>
      </x:c>
      <x:c r="AC153" s="50" t="n">
        <x:v>9</x:v>
      </x:c>
      <x:c r="AD153" s="50" t="n">
        <x:v>15</x:v>
      </x:c>
      <x:c r="AE153" s="50" t="n">
        <x:v>3</x:v>
      </x:c>
      <x:c r="AF153" s="50" t="n">
        <x:v>3</x:v>
      </x:c>
      <x:c r="AG153" s="50" t="n">
        <x:v>10</x:v>
      </x:c>
      <x:c r="AH153" s="57" t="n">
        <x:v>5</x:v>
      </x:c>
    </x:row>
    <x:row r="154" ht="34" customHeight="1">
      <x:c r="A154" s="87" t="n">
        <x:v>152</x:v>
      </x:c>
      <x:c r="B154" s="88" t="str">
        <x:f>IF(C154&gt;=82,"A"&amp;1&amp;" — kontakt natychmiast",IF(C154&gt;=72,"A"&amp;2&amp;" — kontakt w 7 dni",IF(C154&gt;=58,"B — kampania regionalna",IF(C154&gt;=42,"C — weryfikacja i nurturing","D — niski priorytet/wykluczyć"))))</x:f>
        <x:v>B — kampania regionalna</x:v>
      </x:c>
      <x:c r="C154" s="88" t="n">
        <x:f>MAX(0,MIN(100,SUM(AB154:AG154)-AH154))</x:f>
        <x:v>65</x:v>
      </x:c>
      <x:c r="D154" s="62" t="str">
        <x:v>Allegro: AnyTech_pl</x:v>
      </x:c>
      <x:c r="E154" s="62" t="str">
        <x:v>Potencjalny reseller / odbiorca hurtowy</x:v>
      </x:c>
      <x:c r="F154" s="62" t="str">
        <x:v>S1 — RYO/MYO, gilzy i nabijarki</x:v>
      </x:c>
      <x:c r="G154" s="62" t="str">
        <x:v>Marketplace/sprzedawca online</x:v>
      </x:c>
      <x:c r="H154" s="62" t="str">
        <x:v>Ogólnopolska</x:v>
      </x:c>
      <x:c r="I154" s="62" t="str"/>
      <x:c r="J154" s="62" t="str">
        <x:v>Nieustalona</x:v>
      </x:c>
      <x:c r="K154" s="62" t="str"/>
      <x:c r="L154" s="62" t="str"/>
      <x:c r="M154" s="62" t="str"/>
      <x:c r="N154" s="62" t="str"/>
      <x:c r="O154" s="62" t="str">
        <x:v>https://allegro.pl/uzytkownik/AnyTech_pl</x:v>
      </x:c>
      <x:c r="P154" s="62" t="str"/>
      <x:c r="Q154" s="62" t="str"/>
      <x:c r="R154" s="62" t="str"/>
      <x:c r="S154" s="62" t="str">
        <x:v>Nabijarki | Akcesoria | Sprzedawca Allegro</x:v>
      </x:c>
      <x:c r="T154" s="62" t="str">
        <x:f>IF(AND(K154&lt;&gt;"",L154&lt;&gt;"",O154&lt;&gt;""),"Pełny",IF(OR(K154&lt;&gt;"",L154&lt;&gt;""),"Częściowy","Brak bezpośredniego kontaktu"))</x:f>
        <x:v>Brak bezpośredniego kontaktu</x:v>
      </x:c>
      <x:c r="U154" s="62" t="str">
        <x:v>Nowy</x:v>
      </x:c>
      <x:c r="V154" s="62" t="str">
        <x:v>BILLS — hurt@bills.pl</x:v>
      </x:c>
      <x:c r="W154" s="62" t="str">
        <x:v>Dodać do kampanii regionalnej i wykonać follow-up telefoniczny</x:v>
      </x:c>
      <x:c r="X154" s="81" t="n">
        <x:f>IF(C154&gt;=82,'Model scoringu'!$B$4,IF(C154&gt;=72,'Model scoringu'!$B$5,IF(C154&gt;=58,'Model scoringu'!$B$6,"")))</x:f>
        <x:v>46234</x:v>
      </x:c>
      <x:c r="Y154" s="62" t="str">
        <x:v>Bezpośrednie dopasowanie do ryo/myo, gilz lub nabijarek; zasięg ponadregionalny.</x:v>
      </x:c>
      <x:c r="Z154" s="62" t="str">
        <x:v>https://allegro.pl/uzytkownik/AnyTech_pl</x:v>
      </x:c>
      <x:c r="AA154" s="62" t="str">
        <x:v>Super Sprzedawca, nabijarki elektryczne tłokowe. | Status źródłowy: Niezweryfikowany</x:v>
      </x:c>
      <x:c r="AB154" s="50" t="n">
        <x:v>30</x:v>
      </x:c>
      <x:c r="AC154" s="50" t="n">
        <x:v>9</x:v>
      </x:c>
      <x:c r="AD154" s="50" t="n">
        <x:v>15</x:v>
      </x:c>
      <x:c r="AE154" s="50" t="n">
        <x:v>3</x:v>
      </x:c>
      <x:c r="AF154" s="50" t="n">
        <x:v>3</x:v>
      </x:c>
      <x:c r="AG154" s="50" t="n">
        <x:v>10</x:v>
      </x:c>
      <x:c r="AH154" s="57" t="n">
        <x:v>5</x:v>
      </x:c>
    </x:row>
    <x:row r="155" ht="34" customHeight="1">
      <x:c r="A155" s="87" t="n">
        <x:v>153</x:v>
      </x:c>
      <x:c r="B155" s="88" t="str">
        <x:f>IF(C155&gt;=82,"A"&amp;1&amp;" — kontakt natychmiast",IF(C155&gt;=72,"A"&amp;2&amp;" — kontakt w 7 dni",IF(C155&gt;=58,"B — kampania regionalna",IF(C155&gt;=42,"C — weryfikacja i nurturing","D — niski priorytet/wykluczyć"))))</x:f>
        <x:v>B — kampania regionalna</x:v>
      </x:c>
      <x:c r="C155" s="88" t="n">
        <x:f>MAX(0,MIN(100,SUM(AB155:AG155)-AH155))</x:f>
        <x:v>64</x:v>
      </x:c>
      <x:c r="D155" s="62" t="str">
        <x:v>VIVOPLAST</x:v>
      </x:c>
      <x:c r="E155" s="62" t="str">
        <x:v>Potencjalny reseller / odbiorca hurtowy</x:v>
      </x:c>
      <x:c r="F155" s="62" t="str">
        <x:v>S2 — Hurtownie tytoniowe/FMCG</x:v>
      </x:c>
      <x:c r="G155" s="62" t="str">
        <x:v>Hurt B2B regionalny</x:v>
      </x:c>
      <x:c r="H155" s="62" t="str">
        <x:v>Świętokrzyskie</x:v>
      </x:c>
      <x:c r="I155" s="62" t="str">
        <x:v>Ostrowiec Świętokrzyski</x:v>
      </x:c>
      <x:c r="J155" s="62" t="str">
        <x:v>Nieustalona</x:v>
      </x:c>
      <x:c r="K155" s="62" t="str"/>
      <x:c r="L155" s="62" t="str"/>
      <x:c r="M155" s="62" t="str"/>
      <x:c r="N155" s="62" t="str"/>
      <x:c r="O155" s="62" t="str">
        <x:v>https://www.hurtownie.pl/hurtownie-wyroby-tytoniowe,10611.html?p=13</x:v>
      </x:c>
      <x:c r="P155" s="62" t="str">
        <x:v>ul. Sienkiewicza 32, 27-400 Ostrowiec Świętokrzyski</x:v>
      </x:c>
      <x:c r="Q155" s="62" t="str"/>
      <x:c r="R155" s="62" t="str"/>
      <x:c r="S155" s="62" t="str">
        <x:v>FMCG | Tytoń</x:v>
      </x:c>
      <x:c r="T155" s="62" t="str">
        <x:f>IF(AND(K155&lt;&gt;"",L155&lt;&gt;"",O155&lt;&gt;""),"Pełny",IF(OR(K155&lt;&gt;"",L155&lt;&gt;""),"Częściowy","Brak bezpośredniego kontaktu"))</x:f>
        <x:v>Brak bezpośredniego kontaktu</x:v>
      </x:c>
      <x:c r="U155" s="62" t="str">
        <x:v>Nowy</x:v>
      </x:c>
      <x:c r="V155" s="62" t="str">
        <x:v>BILLS — hurt@bills.pl</x:v>
      </x:c>
      <x:c r="W155" s="62" t="str">
        <x:v>Dodać do kampanii regionalnej i wykonać follow-up telefoniczny</x:v>
      </x:c>
      <x:c r="X155" s="81" t="n">
        <x:f>IF(C155&gt;=82,'Model scoringu'!$B$4,IF(C155&gt;=72,'Model scoringu'!$B$5,IF(C155&gt;=58,'Model scoringu'!$B$6,"")))</x:f>
        <x:v>46234</x:v>
      </x:c>
      <x:c r="Y155" s="62" t="str">
        <x:v>Dostęp do sklepów tytoniowych i tradycyjnego handlu.</x:v>
      </x:c>
      <x:c r="Z155" s="62" t="str">
        <x:v>https://www.hurtownie.pl/hurtownie-wyroby-tytoniowe,10611.html?p=13</x:v>
      </x:c>
      <x:c r="AA155" s="62" t="str"/>
      <x:c r="AB155" s="50" t="n">
        <x:v>22</x:v>
      </x:c>
      <x:c r="AC155" s="50" t="n">
        <x:v>15</x:v>
      </x:c>
      <x:c r="AD155" s="50" t="n">
        <x:v>7</x:v>
      </x:c>
      <x:c r="AE155" s="50" t="n">
        <x:v>5</x:v>
      </x:c>
      <x:c r="AF155" s="50" t="n">
        <x:v>10</x:v>
      </x:c>
      <x:c r="AG155" s="50" t="n">
        <x:v>5</x:v>
      </x:c>
      <x:c r="AH155" s="57" t="n">
        <x:v>0</x:v>
      </x:c>
    </x:row>
    <x:row r="156" ht="34" customHeight="1">
      <x:c r="A156" s="87" t="n">
        <x:v>154</x:v>
      </x:c>
      <x:c r="B156" s="88" t="str">
        <x:f>IF(C156&gt;=82,"A"&amp;1&amp;" — kontakt natychmiast",IF(C156&gt;=72,"A"&amp;2&amp;" — kontakt w 7 dni",IF(C156&gt;=58,"B — kampania regionalna",IF(C156&gt;=42,"C — weryfikacja i nurturing","D — niski priorytet/wykluczyć"))))</x:f>
        <x:v>B — kampania regionalna</x:v>
      </x:c>
      <x:c r="C156" s="88" t="n">
        <x:f>MAX(0,MIN(100,SUM(AB156:AG156)-AH156))</x:f>
        <x:v>64</x:v>
      </x:c>
      <x:c r="D156" s="62" t="str">
        <x:v>Trezo Sp. z o.o.</x:v>
      </x:c>
      <x:c r="E156" s="62" t="str">
        <x:v>Partner strategiczny / możliwy konflikt produktowy</x:v>
      </x:c>
      <x:c r="F156" s="62" t="str">
        <x:v>S1 — RYO/MYO, gilzy i nabijarki</x:v>
      </x:c>
      <x:c r="G156" s="62" t="str">
        <x:v>Producent</x:v>
      </x:c>
      <x:c r="H156" s="62" t="str">
        <x:v>Śląskie</x:v>
      </x:c>
      <x:c r="I156" s="62" t="str">
        <x:v>Sosnowiec</x:v>
      </x:c>
      <x:c r="J156" s="62" t="str">
        <x:v>Duży</x:v>
      </x:c>
      <x:c r="K156" s="62" t="str"/>
      <x:c r="L156" s="62" t="str"/>
      <x:c r="M156" s="62" t="str"/>
      <x:c r="N156" s="62" t="str"/>
      <x:c r="O156" s="62" t="str">
        <x:v>https://trezo.com.pl</x:v>
      </x:c>
      <x:c r="P156" s="62" t="str">
        <x:v>ul. Główna 26C, 41-215 Sosnowiec</x:v>
      </x:c>
      <x:c r="Q156" s="62" t="str"/>
      <x:c r="R156" s="62" t="str"/>
      <x:c r="S156" s="62" t="str">
        <x:v>Nabijarki &amp; Zwijarki | Tytoń | Other tobacco injector and tube-filling machines | Spare parts | TREZO 1000 automatic cigarette injector | Rdzeń systemu nabijarek</x:v>
      </x:c>
      <x:c r="T156" s="62" t="str">
        <x:f>IF(AND(K156&lt;&gt;"",L156&lt;&gt;"",O156&lt;&gt;""),"Pełny",IF(OR(K156&lt;&gt;"",L156&lt;&gt;""),"Częściowy","Brak bezpośredniego kontaktu"))</x:f>
        <x:v>Brak bezpośredniego kontaktu</x:v>
      </x:c>
      <x:c r="U156" s="62" t="str">
        <x:v>Nowy</x:v>
      </x:c>
      <x:c r="V156" s="62" t="str">
        <x:v>BILLS — hurt@bills.pl</x:v>
      </x:c>
      <x:c r="W156" s="62" t="str">
        <x:v>Rozmowa strategiczna z dyrektorem handlowym; bez standardowego cold maila</x:v>
      </x:c>
      <x:c r="X156" s="81" t="n">
        <x:f>IF(C156&gt;=82,'Model scoringu'!$B$4,IF(C156&gt;=72,'Model scoringu'!$B$5,IF(C156&gt;=58,'Model scoringu'!$B$6,"")))</x:f>
        <x:v>46234</x:v>
      </x:c>
      <x:c r="Y156" s="62" t="str">
        <x:v>Bezpośrednie dopasowanie do ryo/myo, gilz lub nabijarek; wymaga rozmowy strategicznej zamiast standardowej oferty.</x:v>
      </x:c>
      <x:c r="Z156" s="62" t="str">
        <x:v>https://trezo.com.pl</x:v>
      </x:c>
      <x:c r="AA156" s="62" t="str">
        <x:v>Nie potwierdzone | Status źródłowy: Dostępny w katalogu</x:v>
      </x:c>
      <x:c r="AB156" s="50" t="n">
        <x:v>30</x:v>
      </x:c>
      <x:c r="AC156" s="50" t="n">
        <x:v>7</x:v>
      </x:c>
      <x:c r="AD156" s="50" t="n">
        <x:v>15</x:v>
      </x:c>
      <x:c r="AE156" s="50" t="n">
        <x:v>5</x:v>
      </x:c>
      <x:c r="AF156" s="50" t="n">
        <x:v>10</x:v>
      </x:c>
      <x:c r="AG156" s="50" t="n">
        <x:v>10</x:v>
      </x:c>
      <x:c r="AH156" s="57" t="n">
        <x:v>13</x:v>
      </x:c>
    </x:row>
    <x:row r="157" ht="34" customHeight="1">
      <x:c r="A157" s="87" t="n">
        <x:v>155</x:v>
      </x:c>
      <x:c r="B157" s="88" t="str">
        <x:f>IF(C157&gt;=82,"A"&amp;1&amp;" — kontakt natychmiast",IF(C157&gt;=72,"A"&amp;2&amp;" — kontakt w 7 dni",IF(C157&gt;=58,"B — kampania regionalna",IF(C157&gt;=42,"C — weryfikacja i nurturing","D — niski priorytet/wykluczyć"))))</x:f>
        <x:v>B — kampania regionalna</x:v>
      </x:c>
      <x:c r="C157" s="88" t="n">
        <x:f>MAX(0,MIN(100,SUM(AB157:AG157)-AH157))</x:f>
        <x:v>64</x:v>
      </x:c>
      <x:c r="D157" s="62" t="str">
        <x:v>Promotorzy Sp. z o.o.</x:v>
      </x:c>
      <x:c r="E157" s="62" t="str">
        <x:v>Partner strategiczny / możliwy konflikt produktowy</x:v>
      </x:c>
      <x:c r="F157" s="62" t="str">
        <x:v>S1 — RYO/MYO, gilzy i nabijarki</x:v>
      </x:c>
      <x:c r="G157" s="62" t="str">
        <x:v>Producent</x:v>
      </x:c>
      <x:c r="H157" s="62" t="str">
        <x:v>Ogólnopolska</x:v>
      </x:c>
      <x:c r="I157" s="62" t="str">
        <x:v>Ogólnokrajowy</x:v>
      </x:c>
      <x:c r="J157" s="62" t="str">
        <x:v>Duży</x:v>
      </x:c>
      <x:c r="K157" s="62" t="str"/>
      <x:c r="L157" s="62" t="str"/>
      <x:c r="M157" s="62" t="str"/>
      <x:c r="N157" s="62" t="str"/>
      <x:c r="O157" s="62" t="str">
        <x:v>https://promotorzy.pl</x:v>
      </x:c>
      <x:c r="P157" s="62" t="str">
        <x:v>Poland (headquarters not publicly listed)</x:v>
      </x:c>
      <x:c r="Q157" s="62" t="str"/>
      <x:c r="R157" s="62" t="str"/>
      <x:c r="S157" s="62" t="str">
        <x:v>Akcesoria Tytoniowe | Nabijarki &amp; Zwijarki | Vape &amp; E-papierosy | Cigarette tubes (multiple brands) | Cigarillos | E-cigarette liquids | Filling machines/injectors | Rolling papers | Akcesoria | RYO | Rdzeń systemu nabijarek</x:v>
      </x:c>
      <x:c r="T157" s="62" t="str">
        <x:f>IF(AND(K157&lt;&gt;"",L157&lt;&gt;"",O157&lt;&gt;""),"Pełny",IF(OR(K157&lt;&gt;"",L157&lt;&gt;""),"Częściowy","Brak bezpośredniego kontaktu"))</x:f>
        <x:v>Brak bezpośredniego kontaktu</x:v>
      </x:c>
      <x:c r="U157" s="62" t="str">
        <x:v>Nowy</x:v>
      </x:c>
      <x:c r="V157" s="62" t="str">
        <x:v>BILLS — hurt@bills.pl</x:v>
      </x:c>
      <x:c r="W157" s="62" t="str">
        <x:v>Rozmowa strategiczna z dyrektorem handlowym; bez standardowego cold maila</x:v>
      </x:c>
      <x:c r="X157" s="81" t="n">
        <x:f>IF(C157&gt;=82,'Model scoringu'!$B$4,IF(C157&gt;=72,'Model scoringu'!$B$5,IF(C157&gt;=58,'Model scoringu'!$B$6,"")))</x:f>
        <x:v>46234</x:v>
      </x:c>
      <x:c r="Y157" s="62" t="str">
        <x:v>Bezpośrednie dopasowanie do ryo/myo, gilz lub nabijarek; zasięg ponadregionalny; wymaga rozmowy strategicznej zamiast standardowej oferty.</x:v>
      </x:c>
      <x:c r="Z157" s="62" t="str">
        <x:v>https://promotorzy.pl</x:v>
      </x:c>
      <x:c r="AA157" s="62" t="str">
        <x:v>Nie potwierdzone | Status źródłowy: Dostępny w katalogu</x:v>
      </x:c>
      <x:c r="AB157" s="50" t="n">
        <x:v>30</x:v>
      </x:c>
      <x:c r="AC157" s="50" t="n">
        <x:v>7</x:v>
      </x:c>
      <x:c r="AD157" s="50" t="n">
        <x:v>15</x:v>
      </x:c>
      <x:c r="AE157" s="50" t="n">
        <x:v>5</x:v>
      </x:c>
      <x:c r="AF157" s="50" t="n">
        <x:v>10</x:v>
      </x:c>
      <x:c r="AG157" s="50" t="n">
        <x:v>10</x:v>
      </x:c>
      <x:c r="AH157" s="57" t="n">
        <x:v>13</x:v>
      </x:c>
    </x:row>
    <x:row r="158" ht="34" customHeight="1">
      <x:c r="A158" s="87" t="n">
        <x:v>156</x:v>
      </x:c>
      <x:c r="B158" s="88" t="str">
        <x:f>IF(C158&gt;=82,"A"&amp;1&amp;" — kontakt natychmiast",IF(C158&gt;=72,"A"&amp;2&amp;" — kontakt w 7 dni",IF(C158&gt;=58,"B — kampania regionalna",IF(C158&gt;=42,"C — weryfikacja i nurturing","D — niski priorytet/wykluczyć"))))</x:f>
        <x:v>B — kampania regionalna</x:v>
      </x:c>
      <x:c r="C158" s="88" t="n">
        <x:f>MAX(0,MIN(100,SUM(AB158:AG158)-AH158))</x:f>
        <x:v>64</x:v>
      </x:c>
      <x:c r="D158" s="62" t="str">
        <x:v>Huzark</x:v>
      </x:c>
      <x:c r="E158" s="62" t="str">
        <x:v>Partner strategiczny / możliwy konflikt produktowy</x:v>
      </x:c>
      <x:c r="F158" s="62" t="str">
        <x:v>S1 — RYO/MYO, gilzy i nabijarki</x:v>
      </x:c>
      <x:c r="G158" s="62" t="str">
        <x:v>Producent</x:v>
      </x:c>
      <x:c r="H158" s="62" t="str">
        <x:v>Nieustalony</x:v>
      </x:c>
      <x:c r="I158" s="62" t="str"/>
      <x:c r="J158" s="62" t="str">
        <x:v>Duży</x:v>
      </x:c>
      <x:c r="K158" s="62" t="str"/>
      <x:c r="L158" s="62" t="str"/>
      <x:c r="M158" s="62" t="str"/>
      <x:c r="N158" s="62" t="str"/>
      <x:c r="O158" s="62" t="str">
        <x:v>https://huzark.com</x:v>
      </x:c>
      <x:c r="P158" s="62" t="str">
        <x:v>Poland</x:v>
      </x:c>
      <x:c r="Q158" s="62" t="str"/>
      <x:c r="R158" s="62" t="str"/>
      <x:c r="S158" s="62" t="str">
        <x:v>Akcesoria Tytoniowe | Nabijarki &amp; Zwijarki | Cigarette tubes | Huzark Master 80/min cigarette filling machine | Rdzeń systemu nabijarek</x:v>
      </x:c>
      <x:c r="T158" s="62" t="str">
        <x:f>IF(AND(K158&lt;&gt;"",L158&lt;&gt;"",O158&lt;&gt;""),"Pełny",IF(OR(K158&lt;&gt;"",L158&lt;&gt;""),"Częściowy","Brak bezpośredniego kontaktu"))</x:f>
        <x:v>Brak bezpośredniego kontaktu</x:v>
      </x:c>
      <x:c r="U158" s="62" t="str">
        <x:v>Nowy</x:v>
      </x:c>
      <x:c r="V158" s="62" t="str">
        <x:v>BILLS — hurt@bills.pl</x:v>
      </x:c>
      <x:c r="W158" s="62" t="str">
        <x:v>Rozmowa strategiczna z dyrektorem handlowym; bez standardowego cold maila</x:v>
      </x:c>
      <x:c r="X158" s="81" t="n">
        <x:f>IF(C158&gt;=82,'Model scoringu'!$B$4,IF(C158&gt;=72,'Model scoringu'!$B$5,IF(C158&gt;=58,'Model scoringu'!$B$6,"")))</x:f>
        <x:v>46234</x:v>
      </x:c>
      <x:c r="Y158" s="62" t="str">
        <x:v>Bezpośrednie dopasowanie do ryo/myo, gilz lub nabijarek; wymaga rozmowy strategicznej zamiast standardowej oferty.</x:v>
      </x:c>
      <x:c r="Z158" s="62" t="str">
        <x:v>https://huzark.com</x:v>
      </x:c>
      <x:c r="AA158" s="62" t="str">
        <x:v>Nie potwierdzone | Status źródłowy: Dostępny w katalogu</x:v>
      </x:c>
      <x:c r="AB158" s="50" t="n">
        <x:v>30</x:v>
      </x:c>
      <x:c r="AC158" s="50" t="n">
        <x:v>7</x:v>
      </x:c>
      <x:c r="AD158" s="50" t="n">
        <x:v>15</x:v>
      </x:c>
      <x:c r="AE158" s="50" t="n">
        <x:v>5</x:v>
      </x:c>
      <x:c r="AF158" s="50" t="n">
        <x:v>10</x:v>
      </x:c>
      <x:c r="AG158" s="50" t="n">
        <x:v>10</x:v>
      </x:c>
      <x:c r="AH158" s="57" t="n">
        <x:v>13</x:v>
      </x:c>
    </x:row>
    <x:row r="159" ht="34" customHeight="1">
      <x:c r="A159" s="87" t="n">
        <x:v>157</x:v>
      </x:c>
      <x:c r="B159" s="88" t="str">
        <x:f>IF(C159&gt;=82,"A"&amp;1&amp;" — kontakt natychmiast",IF(C159&gt;=72,"A"&amp;2&amp;" — kontakt w 7 dni",IF(C159&gt;=58,"B — kampania regionalna",IF(C159&gt;=42,"C — weryfikacja i nurturing","D — niski priorytet/wykluczyć"))))</x:f>
        <x:v>B — kampania regionalna</x:v>
      </x:c>
      <x:c r="C159" s="88" t="n">
        <x:f>MAX(0,MIN(100,SUM(AB159:AG159)-AH159))</x:f>
        <x:v>64</x:v>
      </x:c>
      <x:c r="D159" s="62" t="str">
        <x:v>Tabak — hurtownia papierosów i chemii gospodarczej, D. Łożyniak</x:v>
      </x:c>
      <x:c r="E159" s="62" t="str">
        <x:v>Potencjalny reseller / odbiorca hurtowy</x:v>
      </x:c>
      <x:c r="F159" s="62" t="str">
        <x:v>S2 — Hurtownie tytoniowe/FMCG</x:v>
      </x:c>
      <x:c r="G159" s="62" t="str">
        <x:v>Hurt B2B regionalny</x:v>
      </x:c>
      <x:c r="H159" s="62" t="str">
        <x:v>Lubuskie</x:v>
      </x:c>
      <x:c r="I159" s="62" t="str">
        <x:v>Kożuchów</x:v>
      </x:c>
      <x:c r="J159" s="62" t="str">
        <x:v>Mały–średni</x:v>
      </x:c>
      <x:c r="K159" s="62" t="str"/>
      <x:c r="L159" s="62" t="str"/>
      <x:c r="M159" s="62" t="str"/>
      <x:c r="N159" s="62" t="str"/>
      <x:c r="O159" s="62" t="str"/>
      <x:c r="P159" s="62" t="str">
        <x:v>ul. Szprotawska 18A, Kożuchów</x:v>
      </x:c>
      <x:c r="Q159" s="62" t="str"/>
      <x:c r="R159" s="62" t="str"/>
      <x:c r="S159" s="62" t="str">
        <x:v>Papierosy | Chemia gospodarcza | Tytoń | Chemia gospodarcza</x:v>
      </x:c>
      <x:c r="T159" s="62" t="str">
        <x:f>IF(AND(K159&lt;&gt;"",L159&lt;&gt;"",O159&lt;&gt;""),"Pełny",IF(OR(K159&lt;&gt;"",L159&lt;&gt;""),"Częściowy","Brak bezpośredniego kontaktu"))</x:f>
        <x:v>Brak bezpośredniego kontaktu</x:v>
      </x:c>
      <x:c r="U159" s="62" t="str">
        <x:v>Nowy</x:v>
      </x:c>
      <x:c r="V159" s="62" t="str">
        <x:v>BILLS — hurt@bills.pl</x:v>
      </x:c>
      <x:c r="W159" s="62" t="str">
        <x:v>Dodać do kampanii regionalnej i wykonać follow-up telefoniczny</x:v>
      </x:c>
      <x:c r="X159" s="81" t="n">
        <x:f>IF(C159&gt;=82,'Model scoringu'!$B$4,IF(C159&gt;=72,'Model scoringu'!$B$5,IF(C159&gt;=58,'Model scoringu'!$B$6,"")))</x:f>
        <x:v>46234</x:v>
      </x:c>
      <x:c r="Y159" s="62" t="str">
        <x:v>Dostęp do sklepów tytoniowych i tradycyjnego handlu.</x:v>
      </x:c>
      <x:c r="Z159" s="62" t="str">
        <x:v>https://www.pkt.pl/szukaj/hurtownia-papierosow</x:v>
      </x:c>
      <x:c r="AA159" s="62" t="str">
        <x:v>Status źródłowy: Do weryfikacji — katalog</x:v>
      </x:c>
      <x:c r="AB159" s="50" t="n">
        <x:v>22</x:v>
      </x:c>
      <x:c r="AC159" s="50" t="n">
        <x:v>15</x:v>
      </x:c>
      <x:c r="AD159" s="50" t="n">
        <x:v>11</x:v>
      </x:c>
      <x:c r="AE159" s="50" t="n">
        <x:v>2</x:v>
      </x:c>
      <x:c r="AF159" s="50" t="n">
        <x:v>10</x:v>
      </x:c>
      <x:c r="AG159" s="50" t="n">
        <x:v>4</x:v>
      </x:c>
      <x:c r="AH159" s="57" t="n">
        <x:v>0</x:v>
      </x:c>
    </x:row>
    <x:row r="160" ht="34" customHeight="1">
      <x:c r="A160" s="87" t="n">
        <x:v>158</x:v>
      </x:c>
      <x:c r="B160" s="88" t="str">
        <x:f>IF(C160&gt;=82,"A"&amp;1&amp;" — kontakt natychmiast",IF(C160&gt;=72,"A"&amp;2&amp;" — kontakt w 7 dni",IF(C160&gt;=58,"B — kampania regionalna",IF(C160&gt;=42,"C — weryfikacja i nurturing","D — niski priorytet/wykluczyć"))))</x:f>
        <x:v>B — kampania regionalna</x:v>
      </x:c>
      <x:c r="C160" s="88" t="n">
        <x:f>MAX(0,MIN(100,SUM(AB160:AG160)-AH160))</x:f>
        <x:v>62</x:v>
      </x:c>
      <x:c r="D160" s="62" t="str">
        <x:v>Tabak - Hurtownia papierosów i wyrobów tytoniowych.</x:v>
      </x:c>
      <x:c r="E160" s="62" t="str">
        <x:v>Partner cross-sell / kanał sąsiedni</x:v>
      </x:c>
      <x:c r="F160" s="62" t="str">
        <x:v>S4 — Vape/e-papierosy</x:v>
      </x:c>
      <x:c r="G160" s="62" t="str">
        <x:v>Hurt B2B + detal</x:v>
      </x:c>
      <x:c r="H160" s="62" t="str">
        <x:v>Dolnośląskie</x:v>
      </x:c>
      <x:c r="I160" s="62" t="str">
        <x:v>Wrocław</x:v>
      </x:c>
      <x:c r="J160" s="62" t="str">
        <x:v>Nieustalona</x:v>
      </x:c>
      <x:c r="K160" s="62" t="str"/>
      <x:c r="L160" s="62" t="str">
        <x:v>+48 71 349 10 10</x:v>
      </x:c>
      <x:c r="M160" s="62" t="str"/>
      <x:c r="N160" s="62" t="str"/>
      <x:c r="O160" s="62" t="str">
        <x:v>http://tabak.wroclaw.pl</x:v>
      </x:c>
      <x:c r="P160" s="62" t="str">
        <x:v>Wierzchowicka 7, 51-127 Wrocław, Polska</x:v>
      </x:c>
      <x:c r="Q160" s="62" t="str"/>
      <x:c r="R160" s="62" t="str"/>
      <x:c r="S160" s="62" t="str">
        <x:v>Akcesoria Tytoniowe | Papierosy | Tytoń | Akcesoria | Hurt | Sklep Tytoniowy | Tytoń | Vape</x:v>
      </x:c>
      <x:c r="T160" s="62" t="str">
        <x:f>IF(AND(K160&lt;&gt;"",L160&lt;&gt;"",O160&lt;&gt;""),"Pełny",IF(OR(K160&lt;&gt;"",L160&lt;&gt;""),"Częściowy","Brak bezpośredniego kontaktu"))</x:f>
        <x:v>Częściowy</x:v>
      </x:c>
      <x:c r="U160" s="62" t="str">
        <x:v>Nowy</x:v>
      </x:c>
      <x:c r="V160" s="62" t="str">
        <x:v>BILLS — hurt@bills.pl</x:v>
      </x:c>
      <x:c r="W160" s="62" t="str">
        <x:v>Dodać do kampanii regionalnej i wykonać follow-up telefoniczny</x:v>
      </x:c>
      <x:c r="X160" s="81" t="n">
        <x:f>IF(C160&gt;=82,'Model scoringu'!$B$4,IF(C160&gt;=72,'Model scoringu'!$B$5,IF(C160&gt;=58,'Model scoringu'!$B$6,"")))</x:f>
        <x:v>46234</x:v>
      </x:c>
      <x:c r="Y160" s="62" t="str">
        <x:v>Kanał sąsiedni z bazą klientów zainteresowanych produktami nikotynowymi.</x:v>
      </x:c>
      <x:c r="Z160" s="62" t="str">
        <x:v>http://tabak.wroclaw.pl</x:v>
      </x:c>
      <x:c r="AA160" s="62" t="str">
        <x:v>Status źródłowy: Niezweryfikowany</x:v>
      </x:c>
      <x:c r="AB160" s="50" t="n">
        <x:v>11</x:v>
      </x:c>
      <x:c r="AC160" s="50" t="n">
        <x:v>15</x:v>
      </x:c>
      <x:c r="AD160" s="50" t="n">
        <x:v>7</x:v>
      </x:c>
      <x:c r="AE160" s="50" t="n">
        <x:v>9</x:v>
      </x:c>
      <x:c r="AF160" s="50" t="n">
        <x:v>10</x:v>
      </x:c>
      <x:c r="AG160" s="50" t="n">
        <x:v>10</x:v>
      </x:c>
      <x:c r="AH160" s="57" t="n">
        <x:v>0</x:v>
      </x:c>
    </x:row>
    <x:row r="161" ht="34" customHeight="1">
      <x:c r="A161" s="87" t="n">
        <x:v>159</x:v>
      </x:c>
      <x:c r="B161" s="88" t="str">
        <x:f>IF(C161&gt;=82,"A"&amp;1&amp;" — kontakt natychmiast",IF(C161&gt;=72,"A"&amp;2&amp;" — kontakt w 7 dni",IF(C161&gt;=58,"B — kampania regionalna",IF(C161&gt;=42,"C — weryfikacja i nurturing","D — niski priorytet/wykluczyć"))))</x:f>
        <x:v>B — kampania regionalna</x:v>
      </x:c>
      <x:c r="C161" s="88" t="n">
        <x:f>MAX(0,MIN(100,SUM(AB161:AG161)-AH161))</x:f>
        <x:v>62</x:v>
      </x:c>
      <x:c r="D161" s="62" t="str">
        <x:v>LokiVape E-papierosy Vape Shop Ełk</x:v>
      </x:c>
      <x:c r="E161" s="62" t="str">
        <x:v>Partner cross-sell / kanał sąsiedni</x:v>
      </x:c>
      <x:c r="F161" s="62" t="str">
        <x:v>S4 — Vape/e-papierosy</x:v>
      </x:c>
      <x:c r="G161" s="62" t="str">
        <x:v>Hurt B2B + detal</x:v>
      </x:c>
      <x:c r="H161" s="62" t="str">
        <x:v>Podlaskie</x:v>
      </x:c>
      <x:c r="I161" s="62" t="str">
        <x:v>Ełk</x:v>
      </x:c>
      <x:c r="J161" s="62" t="str">
        <x:v>Nieustalona</x:v>
      </x:c>
      <x:c r="K161" s="62" t="str"/>
      <x:c r="L161" s="62" t="str">
        <x:v>+48 690 527 835</x:v>
      </x:c>
      <x:c r="M161" s="62" t="str"/>
      <x:c r="N161" s="62" t="str"/>
      <x:c r="O161" s="62" t="str">
        <x:v>https://www.lokivape.com/sklepy/lokivape-elk-ul-armii-krajowej-9-U11</x:v>
      </x:c>
      <x:c r="P161" s="62" t="str">
        <x:v>Armii Krajowej 9/U11, 19-300 Ełk, Polska</x:v>
      </x:c>
      <x:c r="Q161" s="62" t="str"/>
      <x:c r="R161" s="62" t="str"/>
      <x:c r="S161" s="62" t="str">
        <x:v>Akcesoria Tytoniowe | Tytoń | Hurt | Sklep Tytoniowy</x:v>
      </x:c>
      <x:c r="T161" s="62" t="str">
        <x:f>IF(AND(K161&lt;&gt;"",L161&lt;&gt;"",O161&lt;&gt;""),"Pełny",IF(OR(K161&lt;&gt;"",L161&lt;&gt;""),"Częściowy","Brak bezpośredniego kontaktu"))</x:f>
        <x:v>Częściowy</x:v>
      </x:c>
      <x:c r="U161" s="62" t="str">
        <x:v>Nowy</x:v>
      </x:c>
      <x:c r="V161" s="62" t="str">
        <x:v>BILLS — hurt@bills.pl</x:v>
      </x:c>
      <x:c r="W161" s="62" t="str">
        <x:v>Dodać do kampanii regionalnej i wykonać follow-up telefoniczny</x:v>
      </x:c>
      <x:c r="X161" s="81" t="n">
        <x:f>IF(C161&gt;=82,'Model scoringu'!$B$4,IF(C161&gt;=72,'Model scoringu'!$B$5,IF(C161&gt;=58,'Model scoringu'!$B$6,"")))</x:f>
        <x:v>46234</x:v>
      </x:c>
      <x:c r="Y161" s="62" t="str">
        <x:v>Kanał sąsiedni z bazą klientów zainteresowanych produktami nikotynowymi.</x:v>
      </x:c>
      <x:c r="Z161" s="62" t="str">
        <x:v>https://www.lokivape.com/sklepy/lokivape-elk-ul-armii-krajowej-9-U11</x:v>
      </x:c>
      <x:c r="AA161" s="62" t="str">
        <x:v>Status źródłowy: Niezweryfikowany</x:v>
      </x:c>
      <x:c r="AB161" s="50" t="n">
        <x:v>11</x:v>
      </x:c>
      <x:c r="AC161" s="50" t="n">
        <x:v>15</x:v>
      </x:c>
      <x:c r="AD161" s="50" t="n">
        <x:v>7</x:v>
      </x:c>
      <x:c r="AE161" s="50" t="n">
        <x:v>9</x:v>
      </x:c>
      <x:c r="AF161" s="50" t="n">
        <x:v>10</x:v>
      </x:c>
      <x:c r="AG161" s="50" t="n">
        <x:v>10</x:v>
      </x:c>
      <x:c r="AH161" s="57" t="n">
        <x:v>0</x:v>
      </x:c>
    </x:row>
    <x:row r="162" ht="34" customHeight="1">
      <x:c r="A162" s="87" t="n">
        <x:v>160</x:v>
      </x:c>
      <x:c r="B162" s="88" t="str">
        <x:f>IF(C162&gt;=82,"A"&amp;1&amp;" — kontakt natychmiast",IF(C162&gt;=72,"A"&amp;2&amp;" — kontakt w 7 dni",IF(C162&gt;=58,"B — kampania regionalna",IF(C162&gt;=42,"C — weryfikacja i nurturing","D — niski priorytet/wykluczyć"))))</x:f>
        <x:v>B — kampania regionalna</x:v>
      </x:c>
      <x:c r="C162" s="88" t="n">
        <x:f>MAX(0,MIN(100,SUM(AB162:AG162)-AH162))</x:f>
        <x:v>62</x:v>
      </x:c>
      <x:c r="D162" s="62" t="str">
        <x:v>E-papierosy.pl</x:v>
      </x:c>
      <x:c r="E162" s="62" t="str">
        <x:v>Partner cross-sell / kanał sąsiedni</x:v>
      </x:c>
      <x:c r="F162" s="62" t="str">
        <x:v>S4 — Vape/e-papierosy</x:v>
      </x:c>
      <x:c r="G162" s="62" t="str">
        <x:v>Hurt B2B + detal</x:v>
      </x:c>
      <x:c r="H162" s="62" t="str">
        <x:v>Mazowieckie</x:v>
      </x:c>
      <x:c r="I162" s="62" t="str">
        <x:v>Ostrołęka</x:v>
      </x:c>
      <x:c r="J162" s="62" t="str">
        <x:v>Nieustalona</x:v>
      </x:c>
      <x:c r="K162" s="62" t="str"/>
      <x:c r="L162" s="62" t="str">
        <x:v>+48 571 552 187</x:v>
      </x:c>
      <x:c r="M162" s="62" t="str"/>
      <x:c r="N162" s="62" t="str"/>
      <x:c r="O162" s="62" t="str">
        <x:v>https://e-papierosy.pl/pl/?utm_medium=organic&amp;utm_source=google_maps&amp;utm_campaign=google_maps&amp;utm_content=web_url</x:v>
      </x:c>
      <x:c r="P162" s="62" t="str">
        <x:v>ul. Generała Augusta Emila, Generala Augusta Emila Fieldorfa "Nila" 7B/12, 07-400 Ostrołęka, Polska</x:v>
      </x:c>
      <x:c r="Q162" s="62" t="str"/>
      <x:c r="R162" s="62" t="str"/>
      <x:c r="S162" s="62" t="str">
        <x:v>Akcesoria Tytoniowe | Tytoń | Hurt | Sklep Tytoniowy</x:v>
      </x:c>
      <x:c r="T162" s="62" t="str">
        <x:f>IF(AND(K162&lt;&gt;"",L162&lt;&gt;"",O162&lt;&gt;""),"Pełny",IF(OR(K162&lt;&gt;"",L162&lt;&gt;""),"Częściowy","Brak bezpośredniego kontaktu"))</x:f>
        <x:v>Częściowy</x:v>
      </x:c>
      <x:c r="U162" s="62" t="str">
        <x:v>Nowy</x:v>
      </x:c>
      <x:c r="V162" s="62" t="str">
        <x:v>BILLS — hurt@bills.pl</x:v>
      </x:c>
      <x:c r="W162" s="62" t="str">
        <x:v>Dodać do kampanii regionalnej i wykonać follow-up telefoniczny</x:v>
      </x:c>
      <x:c r="X162" s="81" t="n">
        <x:f>IF(C162&gt;=82,'Model scoringu'!$B$4,IF(C162&gt;=72,'Model scoringu'!$B$5,IF(C162&gt;=58,'Model scoringu'!$B$6,"")))</x:f>
        <x:v>46234</x:v>
      </x:c>
      <x:c r="Y162" s="62" t="str">
        <x:v>Kanał sąsiedni z bazą klientów zainteresowanych produktami nikotynowymi.</x:v>
      </x:c>
      <x:c r="Z162" s="62" t="str">
        <x:v>https://e-papierosy.pl/pl/?utm_medium=organic&amp;utm_source=google_maps&amp;utm_campaign=google_maps&amp;utm_content=web_url</x:v>
      </x:c>
      <x:c r="AA162" s="62" t="str">
        <x:v>Status źródłowy: Niezweryfikowany</x:v>
      </x:c>
      <x:c r="AB162" s="50" t="n">
        <x:v>11</x:v>
      </x:c>
      <x:c r="AC162" s="50" t="n">
        <x:v>15</x:v>
      </x:c>
      <x:c r="AD162" s="50" t="n">
        <x:v>7</x:v>
      </x:c>
      <x:c r="AE162" s="50" t="n">
        <x:v>9</x:v>
      </x:c>
      <x:c r="AF162" s="50" t="n">
        <x:v>10</x:v>
      </x:c>
      <x:c r="AG162" s="50" t="n">
        <x:v>10</x:v>
      </x:c>
      <x:c r="AH162" s="57" t="n">
        <x:v>0</x:v>
      </x:c>
    </x:row>
    <x:row r="163" ht="34" customHeight="1">
      <x:c r="A163" s="87" t="n">
        <x:v>161</x:v>
      </x:c>
      <x:c r="B163" s="88" t="str">
        <x:f>IF(C163&gt;=82,"A"&amp;1&amp;" — kontakt natychmiast",IF(C163&gt;=72,"A"&amp;2&amp;" — kontakt w 7 dni",IF(C163&gt;=58,"B — kampania regionalna",IF(C163&gt;=42,"C — weryfikacja i nurturing","D — niski priorytet/wykluczyć"))))</x:f>
        <x:v>B — kampania regionalna</x:v>
      </x:c>
      <x:c r="C163" s="88" t="n">
        <x:f>MAX(0,MIN(100,SUM(AB163:AG163)-AH163))</x:f>
        <x:v>62</x:v>
      </x:c>
      <x:c r="D163" s="62" t="str">
        <x:v>JarajTo</x:v>
      </x:c>
      <x:c r="E163" s="62" t="str">
        <x:v>Partner cross-sell / kanał sąsiedni</x:v>
      </x:c>
      <x:c r="F163" s="62" t="str">
        <x:v>S4 — Vape/e-papierosy</x:v>
      </x:c>
      <x:c r="G163" s="62" t="str">
        <x:v>Hurt ogólnopolski</x:v>
      </x:c>
      <x:c r="H163" s="62" t="str">
        <x:v>Ogólnopolska</x:v>
      </x:c>
      <x:c r="I163" s="62" t="str"/>
      <x:c r="J163" s="62" t="str">
        <x:v>Średnia</x:v>
      </x:c>
      <x:c r="K163" s="62" t="str"/>
      <x:c r="L163" s="62" t="str"/>
      <x:c r="M163" s="62" t="str"/>
      <x:c r="N163" s="62" t="str"/>
      <x:c r="O163" s="62" t="str">
        <x:v>https://jarajto.pl</x:v>
      </x:c>
      <x:c r="P163" s="62" t="str"/>
      <x:c r="Q163" s="62" t="str"/>
      <x:c r="R163" s="62" t="str"/>
      <x:c r="S163" s="62" t="str">
        <x:v>Akcesoria Tytoniowe | Bibułki &amp; Bletki | Headshop (Bonga, Shisha) | Vape &amp; E-papierosy | RAW | OCB</x:v>
      </x:c>
      <x:c r="T163" s="62" t="str">
        <x:f>IF(AND(K163&lt;&gt;"",L163&lt;&gt;"",O163&lt;&gt;""),"Pełny",IF(OR(K163&lt;&gt;"",L163&lt;&gt;""),"Częściowy","Brak bezpośredniego kontaktu"))</x:f>
        <x:v>Brak bezpośredniego kontaktu</x:v>
      </x:c>
      <x:c r="U163" s="62" t="str">
        <x:v>Nowy</x:v>
      </x:c>
      <x:c r="V163" s="62" t="str">
        <x:v>BILLS — hurt@bills.pl</x:v>
      </x:c>
      <x:c r="W163" s="62" t="str">
        <x:v>Dodać do kampanii regionalnej i wykonać follow-up telefoniczny</x:v>
      </x:c>
      <x:c r="X163" s="81" t="n">
        <x:f>IF(C163&gt;=82,'Model scoringu'!$B$4,IF(C163&gt;=72,'Model scoringu'!$B$5,IF(C163&gt;=58,'Model scoringu'!$B$6,"")))</x:f>
        <x:v>46234</x:v>
      </x:c>
      <x:c r="Y163" s="62" t="str">
        <x:v>Kanał sąsiedni z bazą klientów zainteresowanych produktami nikotynowymi; zasięg ponadregionalny.</x:v>
      </x:c>
      <x:c r="Z163" s="62" t="str">
        <x:v>https://jarajto.pl</x:v>
      </x:c>
      <x:c r="AA163" s="62" t="str">
        <x:v>Wholesale headshop focusing on premium papers, glass, CBD, and vapes.</x:v>
      </x:c>
      <x:c r="AB163" s="50" t="n">
        <x:v>11</x:v>
      </x:c>
      <x:c r="AC163" s="50" t="n">
        <x:v>18</x:v>
      </x:c>
      <x:c r="AD163" s="50" t="n">
        <x:v>15</x:v>
      </x:c>
      <x:c r="AE163" s="50" t="n">
        <x:v>3</x:v>
      </x:c>
      <x:c r="AF163" s="50" t="n">
        <x:v>10</x:v>
      </x:c>
      <x:c r="AG163" s="50" t="n">
        <x:v>5</x:v>
      </x:c>
      <x:c r="AH163" s="57" t="n">
        <x:v>0</x:v>
      </x:c>
    </x:row>
    <x:row r="164" ht="34" customHeight="1">
      <x:c r="A164" s="87" t="n">
        <x:v>162</x:v>
      </x:c>
      <x:c r="B164" s="88" t="str">
        <x:f>IF(C164&gt;=82,"A"&amp;1&amp;" — kontakt natychmiast",IF(C164&gt;=72,"A"&amp;2&amp;" — kontakt w 7 dni",IF(C164&gt;=58,"B — kampania regionalna",IF(C164&gt;=42,"C — weryfikacja i nurturing","D — niski priorytet/wykluczyć"))))</x:f>
        <x:v>B — kampania regionalna</x:v>
      </x:c>
      <x:c r="C164" s="88" t="n">
        <x:f>MAX(0,MIN(100,SUM(AB164:AG164)-AH164))</x:f>
        <x:v>61</x:v>
      </x:c>
      <x:c r="D164" s="62" t="str">
        <x:v>KentDruk (P.W. Kentdruk)</x:v>
      </x:c>
      <x:c r="E164" s="62" t="str">
        <x:v>Partner strategiczny / producent</x:v>
      </x:c>
      <x:c r="F164" s="62" t="str">
        <x:v>S5 — Cygara i trafiki premium</x:v>
      </x:c>
      <x:c r="G164" s="62" t="str">
        <x:v>Producent</x:v>
      </x:c>
      <x:c r="H164" s="62" t="str">
        <x:v>Małopolskie</x:v>
      </x:c>
      <x:c r="I164" s="62" t="str">
        <x:v>Kęty</x:v>
      </x:c>
      <x:c r="J164" s="62" t="str">
        <x:v>Średni</x:v>
      </x:c>
      <x:c r="K164" s="62" t="str">
        <x:v>biuro@kentdruk.pl</x:v>
      </x:c>
      <x:c r="L164" s="62" t="str">
        <x:v>+48 33 845 30 10</x:v>
      </x:c>
      <x:c r="M164" s="62" t="str"/>
      <x:c r="N164" s="62" t="str"/>
      <x:c r="O164" s="62" t="str">
        <x:v>https://kentdruk.pl</x:v>
      </x:c>
      <x:c r="P164" s="62" t="str">
        <x:v>ul. Marii Konopnickiej 6, 32-650 Kęty</x:v>
      </x:c>
      <x:c r="Q164" s="62" t="str"/>
      <x:c r="R164" s="62" t="str"/>
      <x:c r="S164" s="62" t="str">
        <x:v>Akcesoria Tytoniowe | Classic cigarette tubes | Flavoured filters | Long and X-Long tubes | Menthol and fruit capsule tubes | Regular | Slim and super-slim filters | Rdzeń systemu nabijarek</x:v>
      </x:c>
      <x:c r="T164" s="62" t="str">
        <x:f>IF(AND(K164&lt;&gt;"",L164&lt;&gt;"",O164&lt;&gt;""),"Pełny",IF(OR(K164&lt;&gt;"",L164&lt;&gt;""),"Częściowy","Brak bezpośredniego kontaktu"))</x:f>
        <x:v>Pełny</x:v>
      </x:c>
      <x:c r="U164" s="62" t="str">
        <x:v>Nowy</x:v>
      </x:c>
      <x:c r="V164" s="62" t="str">
        <x:v>BILLS — hurt@bills.pl</x:v>
      </x:c>
      <x:c r="W164" s="62" t="str">
        <x:v>Dodać do kampanii regionalnej i wykonać follow-up telefoniczny</x:v>
      </x:c>
      <x:c r="X164" s="81" t="n">
        <x:f>IF(C164&gt;=82,'Model scoringu'!$B$4,IF(C164&gt;=72,'Model scoringu'!$B$5,IF(C164&gt;=58,'Model scoringu'!$B$6,"")))</x:f>
        <x:v>46234</x:v>
      </x:c>
      <x:c r="Y164" s="62" t="str">
        <x:v>Premium trafiki i specjalistyczne punkty sprzedaży.</x:v>
      </x:c>
      <x:c r="Z164" s="62" t="str">
        <x:v>https://kentdruk.pl</x:v>
      </x:c>
      <x:c r="AA164" s="62" t="str">
        <x:v>Nie potwierdzone | Status źródłowy: Dostępny w katalogu</x:v>
      </x:c>
      <x:c r="AB164" s="50" t="n">
        <x:v>10</x:v>
      </x:c>
      <x:c r="AC164" s="50" t="n">
        <x:v>7</x:v>
      </x:c>
      <x:c r="AD164" s="50" t="n">
        <x:v>11</x:v>
      </x:c>
      <x:c r="AE164" s="50" t="n">
        <x:v>15</x:v>
      </x:c>
      <x:c r="AF164" s="50" t="n">
        <x:v>8</x:v>
      </x:c>
      <x:c r="AG164" s="50" t="n">
        <x:v>10</x:v>
      </x:c>
      <x:c r="AH164" s="57" t="n">
        <x:v>0</x:v>
      </x:c>
    </x:row>
    <x:row r="165" ht="34" customHeight="1">
      <x:c r="A165" s="87" t="n">
        <x:v>163</x:v>
      </x:c>
      <x:c r="B165" s="88" t="str">
        <x:f>IF(C165&gt;=82,"A"&amp;1&amp;" — kontakt natychmiast",IF(C165&gt;=72,"A"&amp;2&amp;" — kontakt w 7 dni",IF(C165&gt;=58,"B — kampania regionalna",IF(C165&gt;=42,"C — weryfikacja i nurturing","D — niski priorytet/wykluczyć"))))</x:f>
        <x:v>B — kampania regionalna</x:v>
      </x:c>
      <x:c r="C165" s="88" t="n">
        <x:f>MAX(0,MIN(100,SUM(AB165:AG165)-AH165))</x:f>
        <x:v>61</x:v>
      </x:c>
      <x:c r="D165" s="62" t="str">
        <x:v>E-Tabak</x:v>
      </x:c>
      <x:c r="E165" s="62" t="str">
        <x:v>Partner cross-sell / kanał sąsiedni</x:v>
      </x:c>
      <x:c r="F165" s="62" t="str">
        <x:v>S4 — Vape/e-papierosy</x:v>
      </x:c>
      <x:c r="G165" s="62" t="str">
        <x:v>Hurt B2B regionalny</x:v>
      </x:c>
      <x:c r="H165" s="62" t="str">
        <x:v>Nieustalony</x:v>
      </x:c>
      <x:c r="I165" s="62" t="str"/>
      <x:c r="J165" s="62" t="str">
        <x:v>Nieustalona</x:v>
      </x:c>
      <x:c r="K165" s="62" t="str">
        <x:v>biuro@e-tabak.pl</x:v>
      </x:c>
      <x:c r="L165" s="62" t="str">
        <x:v>178443665</x:v>
      </x:c>
      <x:c r="M165" s="62" t="str"/>
      <x:c r="N165" s="62" t="str"/>
      <x:c r="O165" s="62" t="str">
        <x:v>https://www.e-tabak.pl</x:v>
      </x:c>
      <x:c r="P165" s="62" t="str"/>
      <x:c r="Q165" s="62" t="str">
        <x:v>1231543801</x:v>
      </x:c>
      <x:c r="R165" s="62" t="str">
        <x:v>0001068075</x:v>
      </x:c>
      <x:c r="S165" s="62" t="str">
        <x:v>Vape</x:v>
      </x:c>
      <x:c r="T165" s="62" t="str">
        <x:f>IF(AND(K165&lt;&gt;"",L165&lt;&gt;"",O165&lt;&gt;""),"Pełny",IF(OR(K165&lt;&gt;"",L165&lt;&gt;""),"Częściowy","Brak bezpośredniego kontaktu"))</x:f>
        <x:v>Pełny</x:v>
      </x:c>
      <x:c r="U165" s="62" t="str">
        <x:v>Nowy</x:v>
      </x:c>
      <x:c r="V165" s="62" t="str">
        <x:v>BILLS — hurt@bills.pl</x:v>
      </x:c>
      <x:c r="W165" s="62" t="str">
        <x:v>Dodać do kampanii regionalnej i wykonać follow-up telefoniczny</x:v>
      </x:c>
      <x:c r="X165" s="81" t="n">
        <x:f>IF(C165&gt;=82,'Model scoringu'!$B$4,IF(C165&gt;=72,'Model scoringu'!$B$5,IF(C165&gt;=58,'Model scoringu'!$B$6,"")))</x:f>
        <x:v>46234</x:v>
      </x:c>
      <x:c r="Y165" s="62" t="str">
        <x:v>Kanał sąsiedni z bazą klientów zainteresowanych produktami nikotynowymi.</x:v>
      </x:c>
      <x:c r="Z165" s="62" t="str">
        <x:v>https://www.e-tabak.pl</x:v>
      </x:c>
      <x:c r="AA165" s="62" t="str">
        <x:v>Z listy top 10 vape hurtowni PL</x:v>
      </x:c>
      <x:c r="AB165" s="50" t="n">
        <x:v>11</x:v>
      </x:c>
      <x:c r="AC165" s="50" t="n">
        <x:v>15</x:v>
      </x:c>
      <x:c r="AD165" s="50" t="n">
        <x:v>7</x:v>
      </x:c>
      <x:c r="AE165" s="50" t="n">
        <x:v>13</x:v>
      </x:c>
      <x:c r="AF165" s="50" t="n">
        <x:v>10</x:v>
      </x:c>
      <x:c r="AG165" s="50" t="n">
        <x:v>5</x:v>
      </x:c>
      <x:c r="AH165" s="57" t="n">
        <x:v>0</x:v>
      </x:c>
    </x:row>
    <x:row r="166" ht="34" customHeight="1">
      <x:c r="A166" s="87" t="n">
        <x:v>164</x:v>
      </x:c>
      <x:c r="B166" s="88" t="str">
        <x:f>IF(C166&gt;=82,"A"&amp;1&amp;" — kontakt natychmiast",IF(C166&gt;=72,"A"&amp;2&amp;" — kontakt w 7 dni",IF(C166&gt;=58,"B — kampania regionalna",IF(C166&gt;=42,"C — weryfikacja i nurturing","D — niski priorytet/wykluczyć"))))</x:f>
        <x:v>B — kampania regionalna</x:v>
      </x:c>
      <x:c r="C166" s="88" t="n">
        <x:f>MAX(0,MIN(100,SUM(AB166:AG166)-AH166))</x:f>
        <x:v>61</x:v>
      </x:c>
      <x:c r="D166" s="62" t="str">
        <x:v>Markowe cygara</x:v>
      </x:c>
      <x:c r="E166" s="62" t="str">
        <x:v>Partner cross-sell / kanał sąsiedni</x:v>
      </x:c>
      <x:c r="F166" s="62" t="str">
        <x:v>S5 — Cygara i trafiki premium</x:v>
      </x:c>
      <x:c r="G166" s="62" t="str">
        <x:v>Hurt B2B + detal</x:v>
      </x:c>
      <x:c r="H166" s="62" t="str">
        <x:v>Świętokrzyskie</x:v>
      </x:c>
      <x:c r="I166" s="62" t="str">
        <x:v>Radom</x:v>
      </x:c>
      <x:c r="J166" s="62" t="str">
        <x:v>Nieustalona</x:v>
      </x:c>
      <x:c r="K166" s="62" t="str"/>
      <x:c r="L166" s="62" t="str">
        <x:v>+48 570 305 007</x:v>
      </x:c>
      <x:c r="M166" s="62" t="str"/>
      <x:c r="N166" s="62" t="str"/>
      <x:c r="O166" s="62" t="str">
        <x:v>https://markowecygara.pl</x:v>
      </x:c>
      <x:c r="P166" s="62" t="str">
        <x:v>Biznesowa 8, 26-612 Radom, Polska</x:v>
      </x:c>
      <x:c r="Q166" s="62" t="str"/>
      <x:c r="R166" s="62" t="str"/>
      <x:c r="S166" s="62" t="str">
        <x:v>Akcesoria Tytoniowe | Tytoń | Hurt | Sklep Tytoniowy</x:v>
      </x:c>
      <x:c r="T166" s="62" t="str">
        <x:f>IF(AND(K166&lt;&gt;"",L166&lt;&gt;"",O166&lt;&gt;""),"Pełny",IF(OR(K166&lt;&gt;"",L166&lt;&gt;""),"Częściowy","Brak bezpośredniego kontaktu"))</x:f>
        <x:v>Częściowy</x:v>
      </x:c>
      <x:c r="U166" s="62" t="str">
        <x:v>Nowy</x:v>
      </x:c>
      <x:c r="V166" s="62" t="str">
        <x:v>BILLS — hurt@bills.pl</x:v>
      </x:c>
      <x:c r="W166" s="62" t="str">
        <x:v>Dodać do kampanii regionalnej i wykonać follow-up telefoniczny</x:v>
      </x:c>
      <x:c r="X166" s="81" t="n">
        <x:f>IF(C166&gt;=82,'Model scoringu'!$B$4,IF(C166&gt;=72,'Model scoringu'!$B$5,IF(C166&gt;=58,'Model scoringu'!$B$6,"")))</x:f>
        <x:v>46234</x:v>
      </x:c>
      <x:c r="Y166" s="62" t="str">
        <x:v>Premium trafiki i specjalistyczne punkty sprzedaży.</x:v>
      </x:c>
      <x:c r="Z166" s="62" t="str">
        <x:v>https://markowecygara.pl</x:v>
      </x:c>
      <x:c r="AA166" s="62" t="str">
        <x:v>Status źródłowy: Niezweryfikowany</x:v>
      </x:c>
      <x:c r="AB166" s="50" t="n">
        <x:v>10</x:v>
      </x:c>
      <x:c r="AC166" s="50" t="n">
        <x:v>15</x:v>
      </x:c>
      <x:c r="AD166" s="50" t="n">
        <x:v>7</x:v>
      </x:c>
      <x:c r="AE166" s="50" t="n">
        <x:v>9</x:v>
      </x:c>
      <x:c r="AF166" s="50" t="n">
        <x:v>10</x:v>
      </x:c>
      <x:c r="AG166" s="50" t="n">
        <x:v>10</x:v>
      </x:c>
      <x:c r="AH166" s="57" t="n">
        <x:v>0</x:v>
      </x:c>
    </x:row>
    <x:row r="167" ht="34" customHeight="1">
      <x:c r="A167" s="87" t="n">
        <x:v>165</x:v>
      </x:c>
      <x:c r="B167" s="88" t="str">
        <x:f>IF(C167&gt;=82,"A"&amp;1&amp;" — kontakt natychmiast",IF(C167&gt;=72,"A"&amp;2&amp;" — kontakt w 7 dni",IF(C167&gt;=58,"B — kampania regionalna",IF(C167&gt;=42,"C — weryfikacja i nurturing","D — niski priorytet/wykluczyć"))))</x:f>
        <x:v>B — kampania regionalna</x:v>
      </x:c>
      <x:c r="C167" s="88" t="n">
        <x:f>MAX(0,MIN(100,SUM(AB167:AG167)-AH167))</x:f>
        <x:v>61</x:v>
      </x:c>
      <x:c r="D167" s="62" t="str">
        <x:v>Tobacchem</x:v>
      </x:c>
      <x:c r="E167" s="62" t="str">
        <x:v>Partner strategiczny / możliwy konflikt produktowy</x:v>
      </x:c>
      <x:c r="F167" s="62" t="str">
        <x:v>S1 — RYO/MYO, gilzy i nabijarki</x:v>
      </x:c>
      <x:c r="G167" s="62" t="str">
        <x:v>Producent</x:v>
      </x:c>
      <x:c r="H167" s="62" t="str">
        <x:v>Ogólnopolska</x:v>
      </x:c>
      <x:c r="I167" s="62" t="str"/>
      <x:c r="J167" s="62" t="str">
        <x:v>Duży</x:v>
      </x:c>
      <x:c r="K167" s="62" t="str"/>
      <x:c r="L167" s="62" t="str"/>
      <x:c r="M167" s="62" t="str"/>
      <x:c r="N167" s="62" t="str"/>
      <x:c r="O167" s="62" t="str">
        <x:v>https://tobacchem.pl</x:v>
      </x:c>
      <x:c r="P167" s="62" t="str">
        <x:v>Poland</x:v>
      </x:c>
      <x:c r="Q167" s="62" t="str"/>
      <x:c r="R167" s="62" t="str"/>
      <x:c r="S167" s="62" t="str">
        <x:v>Akcesoria Tytoniowe | Nabijarki &amp; Zwijarki | Cigarette tubes (100/200/500 pcs) | Injecting cigarette rolling machines | Moisture meters | Rolling machines | RYO | Rdzeń systemu nabijarek</x:v>
      </x:c>
      <x:c r="T167" s="62" t="str">
        <x:f>IF(AND(K167&lt;&gt;"",L167&lt;&gt;"",O167&lt;&gt;""),"Pełny",IF(OR(K167&lt;&gt;"",L167&lt;&gt;""),"Częściowy","Brak bezpośredniego kontaktu"))</x:f>
        <x:v>Brak bezpośredniego kontaktu</x:v>
      </x:c>
      <x:c r="U167" s="62" t="str">
        <x:v>Nowy</x:v>
      </x:c>
      <x:c r="V167" s="62" t="str">
        <x:v>BILLS — hurt@bills.pl</x:v>
      </x:c>
      <x:c r="W167" s="62" t="str">
        <x:v>Rozmowa strategiczna z dyrektorem handlowym; bez standardowego cold maila</x:v>
      </x:c>
      <x:c r="X167" s="81" t="n">
        <x:f>IF(C167&gt;=82,'Model scoringu'!$B$4,IF(C167&gt;=72,'Model scoringu'!$B$5,IF(C167&gt;=58,'Model scoringu'!$B$6,"")))</x:f>
        <x:v>46234</x:v>
      </x:c>
      <x:c r="Y167" s="62" t="str">
        <x:v>Bezpośrednie dopasowanie do ryo/myo, gilz lub nabijarek; zasięg ponadregionalny; wymaga rozmowy strategicznej zamiast standardowej oferty.</x:v>
      </x:c>
      <x:c r="Z167" s="62" t="str">
        <x:v>https://tobacchem.pl</x:v>
      </x:c>
      <x:c r="AA167" s="62" t="str">
        <x:v>Nie potwierdzone | Status źródłowy: Aktywny</x:v>
      </x:c>
      <x:c r="AB167" s="50" t="n">
        <x:v>30</x:v>
      </x:c>
      <x:c r="AC167" s="50" t="n">
        <x:v>7</x:v>
      </x:c>
      <x:c r="AD167" s="50" t="n">
        <x:v>15</x:v>
      </x:c>
      <x:c r="AE167" s="50" t="n">
        <x:v>5</x:v>
      </x:c>
      <x:c r="AF167" s="50" t="n">
        <x:v>10</x:v>
      </x:c>
      <x:c r="AG167" s="50" t="n">
        <x:v>7</x:v>
      </x:c>
      <x:c r="AH167" s="57" t="n">
        <x:v>13</x:v>
      </x:c>
    </x:row>
    <x:row r="168" ht="34" customHeight="1">
      <x:c r="A168" s="87" t="n">
        <x:v>166</x:v>
      </x:c>
      <x:c r="B168" s="88" t="str">
        <x:f>IF(C168&gt;=82,"A"&amp;1&amp;" — kontakt natychmiast",IF(C168&gt;=72,"A"&amp;2&amp;" — kontakt w 7 dni",IF(C168&gt;=58,"B — kampania regionalna",IF(C168&gt;=42,"C — weryfikacja i nurturing","D — niski priorytet/wykluczyć"))))</x:f>
        <x:v>B — kampania regionalna</x:v>
      </x:c>
      <x:c r="C168" s="88" t="n">
        <x:f>MAX(0,MIN(100,SUM(AB168:AG168)-AH168))</x:f>
        <x:v>61</x:v>
      </x:c>
      <x:c r="D168" s="62" t="str">
        <x:v>Merkandi.pl</x:v>
      </x:c>
      <x:c r="E168" s="62" t="str">
        <x:v>Partner cross-sell / kanał sąsiedni</x:v>
      </x:c>
      <x:c r="F168" s="62" t="str">
        <x:v>S4 — Vape/e-papierosy</x:v>
      </x:c>
      <x:c r="G168" s="62" t="str">
        <x:v>Hurt ogólnopolski</x:v>
      </x:c>
      <x:c r="H168" s="62" t="str">
        <x:v>Ogólnopolska</x:v>
      </x:c>
      <x:c r="I168" s="62" t="str">
        <x:v>Platform</x:v>
      </x:c>
      <x:c r="J168" s="62" t="str">
        <x:v>Średni</x:v>
      </x:c>
      <x:c r="K168" s="62" t="str"/>
      <x:c r="L168" s="62" t="str"/>
      <x:c r="M168" s="62" t="str"/>
      <x:c r="N168" s="62" t="str"/>
      <x:c r="O168" s="62" t="str">
        <x:v>https://merkandi.pl/hurt/zapalniczki</x:v>
      </x:c>
      <x:c r="P168" s="62" t="str">
        <x:v>Platform</x:v>
      </x:c>
      <x:c r="Q168" s="62" t="str"/>
      <x:c r="R168" s="62" t="str"/>
      <x:c r="S168" s="62" t="str">
        <x:v>Akcesoria Tytoniowe | Akcesoria | Tytoń | Vape</x:v>
      </x:c>
      <x:c r="T168" s="62" t="str">
        <x:f>IF(AND(K168&lt;&gt;"",L168&lt;&gt;"",O168&lt;&gt;""),"Pełny",IF(OR(K168&lt;&gt;"",L168&lt;&gt;""),"Częściowy","Brak bezpośredniego kontaktu"))</x:f>
        <x:v>Brak bezpośredniego kontaktu</x:v>
      </x:c>
      <x:c r="U168" s="62" t="str">
        <x:v>Nowy</x:v>
      </x:c>
      <x:c r="V168" s="62" t="str">
        <x:v>BILLS — hurt@bills.pl</x:v>
      </x:c>
      <x:c r="W168" s="62" t="str">
        <x:v>Dodać do kampanii regionalnej i wykonać follow-up telefoniczny</x:v>
      </x:c>
      <x:c r="X168" s="81" t="n">
        <x:f>IF(C168&gt;=82,'Model scoringu'!$B$4,IF(C168&gt;=72,'Model scoringu'!$B$5,IF(C168&gt;=58,'Model scoringu'!$B$6,"")))</x:f>
        <x:v>46234</x:v>
      </x:c>
      <x:c r="Y168" s="62" t="str">
        <x:v>Kanał sąsiedni z bazą klientów zainteresowanych produktami nikotynowymi; zasięg ponadregionalny.</x:v>
      </x:c>
      <x:c r="Z168" s="62" t="str">
        <x:v>https://merkandi.pl/hurt/zapalniczki</x:v>
      </x:c>
      <x:c r="AA168" s="62" t="str">
        <x:v>Dodano z hurtownicy_pl_127.html; Asortyment: Lighters wholesale — various B2B sellers | Status źródłowy: Aktywny</x:v>
      </x:c>
      <x:c r="AB168" s="50" t="n">
        <x:v>11</x:v>
      </x:c>
      <x:c r="AC168" s="50" t="n">
        <x:v>18</x:v>
      </x:c>
      <x:c r="AD168" s="50" t="n">
        <x:v>15</x:v>
      </x:c>
      <x:c r="AE168" s="50" t="n">
        <x:v>5</x:v>
      </x:c>
      <x:c r="AF168" s="50" t="n">
        <x:v>10</x:v>
      </x:c>
      <x:c r="AG168" s="50" t="n">
        <x:v>7</x:v>
      </x:c>
      <x:c r="AH168" s="57" t="n">
        <x:v>5</x:v>
      </x:c>
    </x:row>
    <x:row r="169" ht="34" customHeight="1">
      <x:c r="A169" s="87" t="n">
        <x:v>167</x:v>
      </x:c>
      <x:c r="B169" s="88" t="str">
        <x:f>IF(C169&gt;=82,"A"&amp;1&amp;" — kontakt natychmiast",IF(C169&gt;=72,"A"&amp;2&amp;" — kontakt w 7 dni",IF(C169&gt;=58,"B — kampania regionalna",IF(C169&gt;=42,"C — weryfikacja i nurturing","D — niski priorytet/wykluczyć"))))</x:f>
        <x:v>B — kampania regionalna</x:v>
      </x:c>
      <x:c r="C169" s="88" t="n">
        <x:f>MAX(0,MIN(100,SUM(AB169:AG169)-AH169))</x:f>
        <x:v>61</x:v>
      </x:c>
      <x:c r="D169" s="62" t="str">
        <x:v>W.O.Z. S.C.</x:v>
      </x:c>
      <x:c r="E169" s="62" t="str">
        <x:v>Potencjalny reseller / odbiorca hurtowy</x:v>
      </x:c>
      <x:c r="F169" s="62" t="str">
        <x:v>S2 — Hurtownie tytoniowe/FMCG</x:v>
      </x:c>
      <x:c r="G169" s="62" t="str">
        <x:v>Hurt B2B regionalny</x:v>
      </x:c>
      <x:c r="H169" s="62" t="str">
        <x:v>Świętokrzyskie</x:v>
      </x:c>
      <x:c r="I169" s="62" t="str">
        <x:v>Ostrowiec Świętokrzyski</x:v>
      </x:c>
      <x:c r="J169" s="62" t="str">
        <x:v>Nieustalona</x:v>
      </x:c>
      <x:c r="K169" s="62" t="str"/>
      <x:c r="L169" s="62" t="str"/>
      <x:c r="M169" s="62" t="str"/>
      <x:c r="N169" s="62" t="str"/>
      <x:c r="O169" s="62" t="str"/>
      <x:c r="P169" s="62" t="str">
        <x:v>ul. Sienkiewicza 26, 27-400 Ostrowiec Świętokrzyski</x:v>
      </x:c>
      <x:c r="Q169" s="62" t="str"/>
      <x:c r="R169" s="62" t="str"/>
      <x:c r="S169" s="62" t="str">
        <x:v>FMCG | Tytoń</x:v>
      </x:c>
      <x:c r="T169" s="62" t="str">
        <x:f>IF(AND(K169&lt;&gt;"",L169&lt;&gt;"",O169&lt;&gt;""),"Pełny",IF(OR(K169&lt;&gt;"",L169&lt;&gt;""),"Częściowy","Brak bezpośredniego kontaktu"))</x:f>
        <x:v>Brak bezpośredniego kontaktu</x:v>
      </x:c>
      <x:c r="U169" s="62" t="str">
        <x:v>Nowy</x:v>
      </x:c>
      <x:c r="V169" s="62" t="str">
        <x:v>BILLS — hurt@bills.pl</x:v>
      </x:c>
      <x:c r="W169" s="62" t="str">
        <x:v>Dodać do kampanii regionalnej i wykonać follow-up telefoniczny</x:v>
      </x:c>
      <x:c r="X169" s="81" t="n">
        <x:f>IF(C169&gt;=82,'Model scoringu'!$B$4,IF(C169&gt;=72,'Model scoringu'!$B$5,IF(C169&gt;=58,'Model scoringu'!$B$6,"")))</x:f>
        <x:v>46234</x:v>
      </x:c>
      <x:c r="Y169" s="62" t="str">
        <x:v>Dostęp do sklepów tytoniowych i tradycyjnego handlu.</x:v>
      </x:c>
      <x:c r="Z169" s="62" t="str"/>
      <x:c r="AA169" s="62" t="str"/>
      <x:c r="AB169" s="50" t="n">
        <x:v>22</x:v>
      </x:c>
      <x:c r="AC169" s="50" t="n">
        <x:v>15</x:v>
      </x:c>
      <x:c r="AD169" s="50" t="n">
        <x:v>7</x:v>
      </x:c>
      <x:c r="AE169" s="50" t="n">
        <x:v>2</x:v>
      </x:c>
      <x:c r="AF169" s="50" t="n">
        <x:v>10</x:v>
      </x:c>
      <x:c r="AG169" s="50" t="n">
        <x:v>5</x:v>
      </x:c>
      <x:c r="AH169" s="57" t="n">
        <x:v>0</x:v>
      </x:c>
    </x:row>
    <x:row r="170" ht="34" customHeight="1">
      <x:c r="A170" s="87" t="n">
        <x:v>168</x:v>
      </x:c>
      <x:c r="B170" s="88" t="str">
        <x:f>IF(C170&gt;=82,"A"&amp;1&amp;" — kontakt natychmiast",IF(C170&gt;=72,"A"&amp;2&amp;" — kontakt w 7 dni",IF(C170&gt;=58,"B — kampania regionalna",IF(C170&gt;=42,"C — weryfikacja i nurturing","D — niski priorytet/wykluczyć"))))</x:f>
        <x:v>B — kampania regionalna</x:v>
      </x:c>
      <x:c r="C170" s="88" t="n">
        <x:f>MAX(0,MIN(100,SUM(AB170:AG170)-AH170))</x:f>
        <x:v>61</x:v>
      </x:c>
      <x:c r="D170" s="62" t="str">
        <x:v>Trafika Nord</x:v>
      </x:c>
      <x:c r="E170" s="62" t="str">
        <x:v>Potencjalny reseller / odbiorca hurtowy</x:v>
      </x:c>
      <x:c r="F170" s="62" t="str">
        <x:v>S3 — Akcesoria dla palaczy/headshop</x:v>
      </x:c>
      <x:c r="G170" s="62" t="str">
        <x:v>Hurt B2B + detal</x:v>
      </x:c>
      <x:c r="H170" s="62" t="str">
        <x:v>Podlaskie</x:v>
      </x:c>
      <x:c r="I170" s="62" t="str">
        <x:v>Białystok</x:v>
      </x:c>
      <x:c r="J170" s="62" t="str">
        <x:v>Średni</x:v>
      </x:c>
      <x:c r="K170" s="62" t="str"/>
      <x:c r="L170" s="62" t="str"/>
      <x:c r="M170" s="62" t="str"/>
      <x:c r="N170" s="62" t="str"/>
      <x:c r="O170" s="62" t="str"/>
      <x:c r="P170" s="62" t="str">
        <x:v>Białystok</x:v>
      </x:c>
      <x:c r="Q170" s="62" t="str"/>
      <x:c r="R170" s="62" t="str"/>
      <x:c r="S170" s="62" t="str">
        <x:v>Akcesoria Tytoniowe | Tytoń | Hurt | Sklep Tytoniowy</x:v>
      </x:c>
      <x:c r="T170" s="62" t="str">
        <x:f>IF(AND(K170&lt;&gt;"",L170&lt;&gt;"",O170&lt;&gt;""),"Pełny",IF(OR(K170&lt;&gt;"",L170&lt;&gt;""),"Częściowy","Brak bezpośredniego kontaktu"))</x:f>
        <x:v>Brak bezpośredniego kontaktu</x:v>
      </x:c>
      <x:c r="U170" s="62" t="str">
        <x:v>Nowy</x:v>
      </x:c>
      <x:c r="V170" s="62" t="str">
        <x:v>BILLS — hurt@bills.pl</x:v>
      </x:c>
      <x:c r="W170" s="62" t="str">
        <x:v>Dodać do kampanii regionalnej i wykonać follow-up telefoniczny</x:v>
      </x:c>
      <x:c r="X170" s="81" t="n">
        <x:f>IF(C170&gt;=82,'Model scoringu'!$B$4,IF(C170&gt;=72,'Model scoringu'!$B$5,IF(C170&gt;=58,'Model scoringu'!$B$6,"")))</x:f>
        <x:v>46234</x:v>
      </x:c>
      <x:c r="Y170" s="62" t="str">
        <x:v>Sprzedaż komplementarnych akcesoriów dla palaczy.</x:v>
      </x:c>
      <x:c r="Z170" s="62" t="str"/>
      <x:c r="AA170" s="62" t="str">
        <x:v>Nie potwierdzone | Status źródłowy: Niezweryfikowany</x:v>
      </x:c>
      <x:c r="AB170" s="50" t="n">
        <x:v>18</x:v>
      </x:c>
      <x:c r="AC170" s="50" t="n">
        <x:v>15</x:v>
      </x:c>
      <x:c r="AD170" s="50" t="n">
        <x:v>11</x:v>
      </x:c>
      <x:c r="AE170" s="50" t="n">
        <x:v>2</x:v>
      </x:c>
      <x:c r="AF170" s="50" t="n">
        <x:v>10</x:v>
      </x:c>
      <x:c r="AG170" s="50" t="n">
        <x:v>10</x:v>
      </x:c>
      <x:c r="AH170" s="57" t="n">
        <x:v>5</x:v>
      </x:c>
    </x:row>
    <x:row r="171" ht="34" customHeight="1">
      <x:c r="A171" s="87" t="n">
        <x:v>169</x:v>
      </x:c>
      <x:c r="B171" s="88" t="str">
        <x:f>IF(C171&gt;=82,"A"&amp;1&amp;" — kontakt natychmiast",IF(C171&gt;=72,"A"&amp;2&amp;" — kontakt w 7 dni",IF(C171&gt;=58,"B — kampania regionalna",IF(C171&gt;=42,"C — weryfikacja i nurturing","D — niski priorytet/wykluczyć"))))</x:f>
        <x:v>B — kampania regionalna</x:v>
      </x:c>
      <x:c r="C171" s="88" t="n">
        <x:f>MAX(0,MIN(100,SUM(AB171:AG171)-AH171))</x:f>
        <x:v>61</x:v>
      </x:c>
      <x:c r="D171" s="62" t="str">
        <x:v>OGRODNICZAK ARTUR Hurtownia</x:v>
      </x:c>
      <x:c r="E171" s="62" t="str">
        <x:v>Potencjalny reseller / odbiorca hurtowy</x:v>
      </x:c>
      <x:c r="F171" s="62" t="str">
        <x:v>S2 — Hurtownie tytoniowe/FMCG</x:v>
      </x:c>
      <x:c r="G171" s="62" t="str">
        <x:v>Hurt B2B regionalny</x:v>
      </x:c>
      <x:c r="H171" s="62" t="str">
        <x:v>Świętokrzyskie</x:v>
      </x:c>
      <x:c r="I171" s="62" t="str">
        <x:v>Skarżysko-Kamienna</x:v>
      </x:c>
      <x:c r="J171" s="62" t="str">
        <x:v>Nieustalona</x:v>
      </x:c>
      <x:c r="K171" s="62" t="str"/>
      <x:c r="L171" s="62" t="str"/>
      <x:c r="M171" s="62" t="str"/>
      <x:c r="N171" s="62" t="str"/>
      <x:c r="O171" s="62" t="str"/>
      <x:c r="P171" s="62" t="str">
        <x:v>ul. Paryska 84, 26-100 Skarżysko-Kamienna</x:v>
      </x:c>
      <x:c r="Q171" s="62" t="str"/>
      <x:c r="R171" s="62" t="str"/>
      <x:c r="S171" s="62" t="str">
        <x:v>Tytoń</x:v>
      </x:c>
      <x:c r="T171" s="62" t="str">
        <x:f>IF(AND(K171&lt;&gt;"",L171&lt;&gt;"",O171&lt;&gt;""),"Pełny",IF(OR(K171&lt;&gt;"",L171&lt;&gt;""),"Częściowy","Brak bezpośredniego kontaktu"))</x:f>
        <x:v>Brak bezpośredniego kontaktu</x:v>
      </x:c>
      <x:c r="U171" s="62" t="str">
        <x:v>Nowy</x:v>
      </x:c>
      <x:c r="V171" s="62" t="str">
        <x:v>BILLS — hurt@bills.pl</x:v>
      </x:c>
      <x:c r="W171" s="62" t="str">
        <x:v>Dodać do kampanii regionalnej i wykonać follow-up telefoniczny</x:v>
      </x:c>
      <x:c r="X171" s="81" t="n">
        <x:f>IF(C171&gt;=82,'Model scoringu'!$B$4,IF(C171&gt;=72,'Model scoringu'!$B$5,IF(C171&gt;=58,'Model scoringu'!$B$6,"")))</x:f>
        <x:v>46234</x:v>
      </x:c>
      <x:c r="Y171" s="62" t="str">
        <x:v>Dostęp do sklepów tytoniowych i tradycyjnego handlu.</x:v>
      </x:c>
      <x:c r="Z171" s="62" t="str"/>
      <x:c r="AA171" s="62" t="str"/>
      <x:c r="AB171" s="50" t="n">
        <x:v>22</x:v>
      </x:c>
      <x:c r="AC171" s="50" t="n">
        <x:v>15</x:v>
      </x:c>
      <x:c r="AD171" s="50" t="n">
        <x:v>7</x:v>
      </x:c>
      <x:c r="AE171" s="50" t="n">
        <x:v>2</x:v>
      </x:c>
      <x:c r="AF171" s="50" t="n">
        <x:v>10</x:v>
      </x:c>
      <x:c r="AG171" s="50" t="n">
        <x:v>5</x:v>
      </x:c>
      <x:c r="AH171" s="57" t="n">
        <x:v>0</x:v>
      </x:c>
    </x:row>
    <x:row r="172" ht="34" customHeight="1">
      <x:c r="A172" s="87" t="n">
        <x:v>170</x:v>
      </x:c>
      <x:c r="B172" s="88" t="str">
        <x:f>IF(C172&gt;=82,"A"&amp;1&amp;" — kontakt natychmiast",IF(C172&gt;=72,"A"&amp;2&amp;" — kontakt w 7 dni",IF(C172&gt;=58,"B — kampania regionalna",IF(C172&gt;=42,"C — weryfikacja i nurturing","D — niski priorytet/wykluczyć"))))</x:f>
        <x:v>B — kampania regionalna</x:v>
      </x:c>
      <x:c r="C172" s="88" t="n">
        <x:f>MAX(0,MIN(100,SUM(AB172:AG172)-AH172))</x:f>
        <x:v>61</x:v>
      </x:c>
      <x:c r="D172" s="62" t="str">
        <x:v>MILO S.A.</x:v>
      </x:c>
      <x:c r="E172" s="62" t="str">
        <x:v>Potencjalny reseller / odbiorca hurtowy</x:v>
      </x:c>
      <x:c r="F172" s="62" t="str">
        <x:v>S2 — Hurtownie tytoniowe/FMCG</x:v>
      </x:c>
      <x:c r="G172" s="62" t="str">
        <x:v>Hurt B2B regionalny</x:v>
      </x:c>
      <x:c r="H172" s="62" t="str">
        <x:v>Świętokrzyskie</x:v>
      </x:c>
      <x:c r="I172" s="62" t="str">
        <x:v>Kielce</x:v>
      </x:c>
      <x:c r="J172" s="62" t="str">
        <x:v>Nieustalona</x:v>
      </x:c>
      <x:c r="K172" s="62" t="str"/>
      <x:c r="L172" s="62" t="str"/>
      <x:c r="M172" s="62" t="str"/>
      <x:c r="N172" s="62" t="str"/>
      <x:c r="O172" s="62" t="str"/>
      <x:c r="P172" s="62" t="str">
        <x:v>ul. Magazynowa 4, 25-565 Kielce</x:v>
      </x:c>
      <x:c r="Q172" s="62" t="str"/>
      <x:c r="R172" s="62" t="str"/>
      <x:c r="S172" s="62" t="str">
        <x:v>FMCG | Tytoń</x:v>
      </x:c>
      <x:c r="T172" s="62" t="str">
        <x:f>IF(AND(K172&lt;&gt;"",L172&lt;&gt;"",O172&lt;&gt;""),"Pełny",IF(OR(K172&lt;&gt;"",L172&lt;&gt;""),"Częściowy","Brak bezpośredniego kontaktu"))</x:f>
        <x:v>Brak bezpośredniego kontaktu</x:v>
      </x:c>
      <x:c r="U172" s="62" t="str">
        <x:v>Nowy</x:v>
      </x:c>
      <x:c r="V172" s="62" t="str">
        <x:v>BILLS — hurt@bills.pl</x:v>
      </x:c>
      <x:c r="W172" s="62" t="str">
        <x:v>Dodać do kampanii regionalnej i wykonać follow-up telefoniczny</x:v>
      </x:c>
      <x:c r="X172" s="81" t="n">
        <x:f>IF(C172&gt;=82,'Model scoringu'!$B$4,IF(C172&gt;=72,'Model scoringu'!$B$5,IF(C172&gt;=58,'Model scoringu'!$B$6,"")))</x:f>
        <x:v>46234</x:v>
      </x:c>
      <x:c r="Y172" s="62" t="str">
        <x:v>Dostęp do sklepów tytoniowych i tradycyjnego handlu.</x:v>
      </x:c>
      <x:c r="Z172" s="62" t="str"/>
      <x:c r="AA172" s="62" t="str"/>
      <x:c r="AB172" s="50" t="n">
        <x:v>22</x:v>
      </x:c>
      <x:c r="AC172" s="50" t="n">
        <x:v>15</x:v>
      </x:c>
      <x:c r="AD172" s="50" t="n">
        <x:v>7</x:v>
      </x:c>
      <x:c r="AE172" s="50" t="n">
        <x:v>2</x:v>
      </x:c>
      <x:c r="AF172" s="50" t="n">
        <x:v>10</x:v>
      </x:c>
      <x:c r="AG172" s="50" t="n">
        <x:v>5</x:v>
      </x:c>
      <x:c r="AH172" s="57" t="n">
        <x:v>0</x:v>
      </x:c>
    </x:row>
    <x:row r="173" ht="34" customHeight="1">
      <x:c r="A173" s="87" t="n">
        <x:v>171</x:v>
      </x:c>
      <x:c r="B173" s="88" t="str">
        <x:f>IF(C173&gt;=82,"A"&amp;1&amp;" — kontakt natychmiast",IF(C173&gt;=72,"A"&amp;2&amp;" — kontakt w 7 dni",IF(C173&gt;=58,"B — kampania regionalna",IF(C173&gt;=42,"C — weryfikacja i nurturing","D — niski priorytet/wykluczyć"))))</x:f>
        <x:v>B — kampania regionalna</x:v>
      </x:c>
      <x:c r="C173" s="88" t="n">
        <x:f>MAX(0,MIN(100,SUM(AB173:AG173)-AH173))</x:f>
        <x:v>61</x:v>
      </x:c>
      <x:c r="D173" s="62" t="str">
        <x:v>KIREX BIS PHU M. Kycia</x:v>
      </x:c>
      <x:c r="E173" s="62" t="str">
        <x:v>Potencjalny reseller / odbiorca hurtowy</x:v>
      </x:c>
      <x:c r="F173" s="62" t="str">
        <x:v>S2 — Hurtownie tytoniowe/FMCG</x:v>
      </x:c>
      <x:c r="G173" s="62" t="str">
        <x:v>Hurt B2B regionalny</x:v>
      </x:c>
      <x:c r="H173" s="62" t="str">
        <x:v>Świętokrzyskie</x:v>
      </x:c>
      <x:c r="I173" s="62" t="str">
        <x:v>Starachowice</x:v>
      </x:c>
      <x:c r="J173" s="62" t="str">
        <x:v>Nieustalona</x:v>
      </x:c>
      <x:c r="K173" s="62" t="str"/>
      <x:c r="L173" s="62" t="str"/>
      <x:c r="M173" s="62" t="str"/>
      <x:c r="N173" s="62" t="str"/>
      <x:c r="O173" s="62" t="str"/>
      <x:c r="P173" s="62" t="str">
        <x:v>ul. Radomska 17, 27-200 Starachowice</x:v>
      </x:c>
      <x:c r="Q173" s="62" t="str"/>
      <x:c r="R173" s="62" t="str"/>
      <x:c r="S173" s="62" t="str">
        <x:v>Tytoń</x:v>
      </x:c>
      <x:c r="T173" s="62" t="str">
        <x:f>IF(AND(K173&lt;&gt;"",L173&lt;&gt;"",O173&lt;&gt;""),"Pełny",IF(OR(K173&lt;&gt;"",L173&lt;&gt;""),"Częściowy","Brak bezpośredniego kontaktu"))</x:f>
        <x:v>Brak bezpośredniego kontaktu</x:v>
      </x:c>
      <x:c r="U173" s="62" t="str">
        <x:v>Nowy</x:v>
      </x:c>
      <x:c r="V173" s="62" t="str">
        <x:v>BILLS — hurt@bills.pl</x:v>
      </x:c>
      <x:c r="W173" s="62" t="str">
        <x:v>Dodać do kampanii regionalnej i wykonać follow-up telefoniczny</x:v>
      </x:c>
      <x:c r="X173" s="81" t="n">
        <x:f>IF(C173&gt;=82,'Model scoringu'!$B$4,IF(C173&gt;=72,'Model scoringu'!$B$5,IF(C173&gt;=58,'Model scoringu'!$B$6,"")))</x:f>
        <x:v>46234</x:v>
      </x:c>
      <x:c r="Y173" s="62" t="str">
        <x:v>Dostęp do sklepów tytoniowych i tradycyjnego handlu.</x:v>
      </x:c>
      <x:c r="Z173" s="62" t="str"/>
      <x:c r="AA173" s="62" t="str"/>
      <x:c r="AB173" s="50" t="n">
        <x:v>22</x:v>
      </x:c>
      <x:c r="AC173" s="50" t="n">
        <x:v>15</x:v>
      </x:c>
      <x:c r="AD173" s="50" t="n">
        <x:v>7</x:v>
      </x:c>
      <x:c r="AE173" s="50" t="n">
        <x:v>2</x:v>
      </x:c>
      <x:c r="AF173" s="50" t="n">
        <x:v>10</x:v>
      </x:c>
      <x:c r="AG173" s="50" t="n">
        <x:v>5</x:v>
      </x:c>
      <x:c r="AH173" s="57" t="n">
        <x:v>0</x:v>
      </x:c>
    </x:row>
    <x:row r="174" ht="34" customHeight="1">
      <x:c r="A174" s="87" t="n">
        <x:v>172</x:v>
      </x:c>
      <x:c r="B174" s="88" t="str">
        <x:f>IF(C174&gt;=82,"A"&amp;1&amp;" — kontakt natychmiast",IF(C174&gt;=72,"A"&amp;2&amp;" — kontakt w 7 dni",IF(C174&gt;=58,"B — kampania regionalna",IF(C174&gt;=42,"C — weryfikacja i nurturing","D — niski priorytet/wykluczyć"))))</x:f>
        <x:v>B — kampania regionalna</x:v>
      </x:c>
      <x:c r="C174" s="88" t="n">
        <x:f>MAX(0,MIN(100,SUM(AB174:AG174)-AH174))</x:f>
        <x:v>61</x:v>
      </x:c>
      <x:c r="D174" s="62" t="str">
        <x:v>JOLBEX Firma Handlowa Zygmunt Wangler</x:v>
      </x:c>
      <x:c r="E174" s="62" t="str">
        <x:v>Potencjalny reseller / odbiorca hurtowy</x:v>
      </x:c>
      <x:c r="F174" s="62" t="str">
        <x:v>S2 — Hurtownie tytoniowe/FMCG</x:v>
      </x:c>
      <x:c r="G174" s="62" t="str">
        <x:v>Hurt B2B regionalny</x:v>
      </x:c>
      <x:c r="H174" s="62" t="str">
        <x:v>Świętokrzyskie</x:v>
      </x:c>
      <x:c r="I174" s="62" t="str">
        <x:v>Skarżysko-Kamienna</x:v>
      </x:c>
      <x:c r="J174" s="62" t="str">
        <x:v>Nieustalona</x:v>
      </x:c>
      <x:c r="K174" s="62" t="str"/>
      <x:c r="L174" s="62" t="str"/>
      <x:c r="M174" s="62" t="str"/>
      <x:c r="N174" s="62" t="str"/>
      <x:c r="O174" s="62" t="str"/>
      <x:c r="P174" s="62" t="str">
        <x:v>ul. Rzemieślnicza 1, 26-110 Skarżysko-Kamienna</x:v>
      </x:c>
      <x:c r="Q174" s="62" t="str"/>
      <x:c r="R174" s="62" t="str"/>
      <x:c r="S174" s="62" t="str">
        <x:v>Tytoń</x:v>
      </x:c>
      <x:c r="T174" s="62" t="str">
        <x:f>IF(AND(K174&lt;&gt;"",L174&lt;&gt;"",O174&lt;&gt;""),"Pełny",IF(OR(K174&lt;&gt;"",L174&lt;&gt;""),"Częściowy","Brak bezpośredniego kontaktu"))</x:f>
        <x:v>Brak bezpośredniego kontaktu</x:v>
      </x:c>
      <x:c r="U174" s="62" t="str">
        <x:v>Nowy</x:v>
      </x:c>
      <x:c r="V174" s="62" t="str">
        <x:v>BILLS — hurt@bills.pl</x:v>
      </x:c>
      <x:c r="W174" s="62" t="str">
        <x:v>Dodać do kampanii regionalnej i wykonać follow-up telefoniczny</x:v>
      </x:c>
      <x:c r="X174" s="81" t="n">
        <x:f>IF(C174&gt;=82,'Model scoringu'!$B$4,IF(C174&gt;=72,'Model scoringu'!$B$5,IF(C174&gt;=58,'Model scoringu'!$B$6,"")))</x:f>
        <x:v>46234</x:v>
      </x:c>
      <x:c r="Y174" s="62" t="str">
        <x:v>Dostęp do sklepów tytoniowych i tradycyjnego handlu.</x:v>
      </x:c>
      <x:c r="Z174" s="62" t="str"/>
      <x:c r="AA174" s="62" t="str"/>
      <x:c r="AB174" s="50" t="n">
        <x:v>22</x:v>
      </x:c>
      <x:c r="AC174" s="50" t="n">
        <x:v>15</x:v>
      </x:c>
      <x:c r="AD174" s="50" t="n">
        <x:v>7</x:v>
      </x:c>
      <x:c r="AE174" s="50" t="n">
        <x:v>2</x:v>
      </x:c>
      <x:c r="AF174" s="50" t="n">
        <x:v>10</x:v>
      </x:c>
      <x:c r="AG174" s="50" t="n">
        <x:v>5</x:v>
      </x:c>
      <x:c r="AH174" s="57" t="n">
        <x:v>0</x:v>
      </x:c>
    </x:row>
    <x:row r="175" ht="34" customHeight="1">
      <x:c r="A175" s="87" t="n">
        <x:v>173</x:v>
      </x:c>
      <x:c r="B175" s="88" t="str">
        <x:f>IF(C175&gt;=82,"A"&amp;1&amp;" — kontakt natychmiast",IF(C175&gt;=72,"A"&amp;2&amp;" — kontakt w 7 dni",IF(C175&gt;=58,"B — kampania regionalna",IF(C175&gt;=42,"C — weryfikacja i nurturing","D — niski priorytet/wykluczyć"))))</x:f>
        <x:v>B — kampania regionalna</x:v>
      </x:c>
      <x:c r="C175" s="88" t="n">
        <x:f>MAX(0,MIN(100,SUM(AB175:AG175)-AH175))</x:f>
        <x:v>61</x:v>
      </x:c>
      <x:c r="D175" s="62" t="str">
        <x:v>CORA Zakład Handlowo-Usługowy</x:v>
      </x:c>
      <x:c r="E175" s="62" t="str">
        <x:v>Potencjalny reseller / odbiorca hurtowy</x:v>
      </x:c>
      <x:c r="F175" s="62" t="str">
        <x:v>S2 — Hurtownie tytoniowe/FMCG</x:v>
      </x:c>
      <x:c r="G175" s="62" t="str">
        <x:v>Hurt B2B regionalny</x:v>
      </x:c>
      <x:c r="H175" s="62" t="str">
        <x:v>Świętokrzyskie</x:v>
      </x:c>
      <x:c r="I175" s="62" t="str">
        <x:v>Kielce</x:v>
      </x:c>
      <x:c r="J175" s="62" t="str">
        <x:v>Nieustalona</x:v>
      </x:c>
      <x:c r="K175" s="62" t="str"/>
      <x:c r="L175" s="62" t="str"/>
      <x:c r="M175" s="62" t="str"/>
      <x:c r="N175" s="62" t="str"/>
      <x:c r="O175" s="62" t="str"/>
      <x:c r="P175" s="62" t="str">
        <x:v>ul. Jana III Sobieskiego 63, 25-132 Kielce</x:v>
      </x:c>
      <x:c r="Q175" s="62" t="str"/>
      <x:c r="R175" s="62" t="str"/>
      <x:c r="S175" s="62" t="str">
        <x:v>Tytoń</x:v>
      </x:c>
      <x:c r="T175" s="62" t="str">
        <x:f>IF(AND(K175&lt;&gt;"",L175&lt;&gt;"",O175&lt;&gt;""),"Pełny",IF(OR(K175&lt;&gt;"",L175&lt;&gt;""),"Częściowy","Brak bezpośredniego kontaktu"))</x:f>
        <x:v>Brak bezpośredniego kontaktu</x:v>
      </x:c>
      <x:c r="U175" s="62" t="str">
        <x:v>Nowy</x:v>
      </x:c>
      <x:c r="V175" s="62" t="str">
        <x:v>BILLS — hurt@bills.pl</x:v>
      </x:c>
      <x:c r="W175" s="62" t="str">
        <x:v>Dodać do kampanii regionalnej i wykonać follow-up telefoniczny</x:v>
      </x:c>
      <x:c r="X175" s="81" t="n">
        <x:f>IF(C175&gt;=82,'Model scoringu'!$B$4,IF(C175&gt;=72,'Model scoringu'!$B$5,IF(C175&gt;=58,'Model scoringu'!$B$6,"")))</x:f>
        <x:v>46234</x:v>
      </x:c>
      <x:c r="Y175" s="62" t="str">
        <x:v>Dostęp do sklepów tytoniowych i tradycyjnego handlu.</x:v>
      </x:c>
      <x:c r="Z175" s="62" t="str"/>
      <x:c r="AA175" s="62" t="str"/>
      <x:c r="AB175" s="50" t="n">
        <x:v>22</x:v>
      </x:c>
      <x:c r="AC175" s="50" t="n">
        <x:v>15</x:v>
      </x:c>
      <x:c r="AD175" s="50" t="n">
        <x:v>7</x:v>
      </x:c>
      <x:c r="AE175" s="50" t="n">
        <x:v>2</x:v>
      </x:c>
      <x:c r="AF175" s="50" t="n">
        <x:v>10</x:v>
      </x:c>
      <x:c r="AG175" s="50" t="n">
        <x:v>5</x:v>
      </x:c>
      <x:c r="AH175" s="57" t="n">
        <x:v>0</x:v>
      </x:c>
    </x:row>
    <x:row r="176" ht="34" customHeight="1">
      <x:c r="A176" s="87" t="n">
        <x:v>174</x:v>
      </x:c>
      <x:c r="B176" s="88" t="str">
        <x:f>IF(C176&gt;=82,"A"&amp;1&amp;" — kontakt natychmiast",IF(C176&gt;=72,"A"&amp;2&amp;" — kontakt w 7 dni",IF(C176&gt;=58,"B — kampania regionalna",IF(C176&gt;=42,"C — weryfikacja i nurturing","D — niski priorytet/wykluczyć"))))</x:f>
        <x:v>B — kampania regionalna</x:v>
      </x:c>
      <x:c r="C176" s="88" t="n">
        <x:f>MAX(0,MIN(100,SUM(AB176:AG176)-AH176))</x:f>
        <x:v>61</x:v>
      </x:c>
      <x:c r="D176" s="62" t="str">
        <x:v>CARO Sp.j. R. i R. Niewczas</x:v>
      </x:c>
      <x:c r="E176" s="62" t="str">
        <x:v>Potencjalny reseller / odbiorca hurtowy</x:v>
      </x:c>
      <x:c r="F176" s="62" t="str">
        <x:v>S2 — Hurtownie tytoniowe/FMCG</x:v>
      </x:c>
      <x:c r="G176" s="62" t="str">
        <x:v>Hurt B2B regionalny</x:v>
      </x:c>
      <x:c r="H176" s="62" t="str">
        <x:v>Świętokrzyskie</x:v>
      </x:c>
      <x:c r="I176" s="62" t="str">
        <x:v>Ostrowiec Świętokrzyski</x:v>
      </x:c>
      <x:c r="J176" s="62" t="str">
        <x:v>Nieustalona</x:v>
      </x:c>
      <x:c r="K176" s="62" t="str"/>
      <x:c r="L176" s="62" t="str"/>
      <x:c r="M176" s="62" t="str"/>
      <x:c r="N176" s="62" t="str"/>
      <x:c r="O176" s="62" t="str"/>
      <x:c r="P176" s="62" t="str">
        <x:v>al. Jana Pawła II 63 b, 27-400 Ostrowiec Świętokrzyski</x:v>
      </x:c>
      <x:c r="Q176" s="62" t="str"/>
      <x:c r="R176" s="62" t="str"/>
      <x:c r="S176" s="62" t="str">
        <x:v>Tytoń</x:v>
      </x:c>
      <x:c r="T176" s="62" t="str">
        <x:f>IF(AND(K176&lt;&gt;"",L176&lt;&gt;"",O176&lt;&gt;""),"Pełny",IF(OR(K176&lt;&gt;"",L176&lt;&gt;""),"Częściowy","Brak bezpośredniego kontaktu"))</x:f>
        <x:v>Brak bezpośredniego kontaktu</x:v>
      </x:c>
      <x:c r="U176" s="62" t="str">
        <x:v>Nowy</x:v>
      </x:c>
      <x:c r="V176" s="62" t="str">
        <x:v>BILLS — hurt@bills.pl</x:v>
      </x:c>
      <x:c r="W176" s="62" t="str">
        <x:v>Dodać do kampanii regionalnej i wykonać follow-up telefoniczny</x:v>
      </x:c>
      <x:c r="X176" s="81" t="n">
        <x:f>IF(C176&gt;=82,'Model scoringu'!$B$4,IF(C176&gt;=72,'Model scoringu'!$B$5,IF(C176&gt;=58,'Model scoringu'!$B$6,"")))</x:f>
        <x:v>46234</x:v>
      </x:c>
      <x:c r="Y176" s="62" t="str">
        <x:v>Dostęp do sklepów tytoniowych i tradycyjnego handlu.</x:v>
      </x:c>
      <x:c r="Z176" s="62" t="str"/>
      <x:c r="AA176" s="62" t="str"/>
      <x:c r="AB176" s="50" t="n">
        <x:v>22</x:v>
      </x:c>
      <x:c r="AC176" s="50" t="n">
        <x:v>15</x:v>
      </x:c>
      <x:c r="AD176" s="50" t="n">
        <x:v>7</x:v>
      </x:c>
      <x:c r="AE176" s="50" t="n">
        <x:v>2</x:v>
      </x:c>
      <x:c r="AF176" s="50" t="n">
        <x:v>10</x:v>
      </x:c>
      <x:c r="AG176" s="50" t="n">
        <x:v>5</x:v>
      </x:c>
      <x:c r="AH176" s="57" t="n">
        <x:v>0</x:v>
      </x:c>
    </x:row>
    <x:row r="177" ht="34" customHeight="1">
      <x:c r="A177" s="87" t="n">
        <x:v>175</x:v>
      </x:c>
      <x:c r="B177" s="88" t="str">
        <x:f>IF(C177&gt;=82,"A"&amp;1&amp;" — kontakt natychmiast",IF(C177&gt;=72,"A"&amp;2&amp;" — kontakt w 7 dni",IF(C177&gt;=58,"B — kampania regionalna",IF(C177&gt;=42,"C — weryfikacja i nurturing","D — niski priorytet/wykluczyć"))))</x:f>
        <x:v>B — kampania regionalna</x:v>
      </x:c>
      <x:c r="C177" s="88" t="n">
        <x:f>MAX(0,MIN(100,SUM(AB177:AG177)-AH177))</x:f>
        <x:v>61</x:v>
      </x:c>
      <x:c r="D177" s="62" t="str">
        <x:v>CARMEN S.C.</x:v>
      </x:c>
      <x:c r="E177" s="62" t="str">
        <x:v>Potencjalny reseller / odbiorca hurtowy</x:v>
      </x:c>
      <x:c r="F177" s="62" t="str">
        <x:v>S2 — Hurtownie tytoniowe/FMCG</x:v>
      </x:c>
      <x:c r="G177" s="62" t="str">
        <x:v>Hurt B2B regionalny</x:v>
      </x:c>
      <x:c r="H177" s="62" t="str">
        <x:v>Świętokrzyskie</x:v>
      </x:c>
      <x:c r="I177" s="62" t="str">
        <x:v>Starachowice</x:v>
      </x:c>
      <x:c r="J177" s="62" t="str">
        <x:v>Nieustalona</x:v>
      </x:c>
      <x:c r="K177" s="62" t="str"/>
      <x:c r="L177" s="62" t="str"/>
      <x:c r="M177" s="62" t="str"/>
      <x:c r="N177" s="62" t="str"/>
      <x:c r="O177" s="62" t="str"/>
      <x:c r="P177" s="62" t="str">
        <x:v>ul. Wspólna 1, 27-200 Starachowice</x:v>
      </x:c>
      <x:c r="Q177" s="62" t="str"/>
      <x:c r="R177" s="62" t="str"/>
      <x:c r="S177" s="62" t="str">
        <x:v>Tytoń</x:v>
      </x:c>
      <x:c r="T177" s="62" t="str">
        <x:f>IF(AND(K177&lt;&gt;"",L177&lt;&gt;"",O177&lt;&gt;""),"Pełny",IF(OR(K177&lt;&gt;"",L177&lt;&gt;""),"Częściowy","Brak bezpośredniego kontaktu"))</x:f>
        <x:v>Brak bezpośredniego kontaktu</x:v>
      </x:c>
      <x:c r="U177" s="62" t="str">
        <x:v>Nowy</x:v>
      </x:c>
      <x:c r="V177" s="62" t="str">
        <x:v>BILLS — hurt@bills.pl</x:v>
      </x:c>
      <x:c r="W177" s="62" t="str">
        <x:v>Dodać do kampanii regionalnej i wykonać follow-up telefoniczny</x:v>
      </x:c>
      <x:c r="X177" s="81" t="n">
        <x:f>IF(C177&gt;=82,'Model scoringu'!$B$4,IF(C177&gt;=72,'Model scoringu'!$B$5,IF(C177&gt;=58,'Model scoringu'!$B$6,"")))</x:f>
        <x:v>46234</x:v>
      </x:c>
      <x:c r="Y177" s="62" t="str">
        <x:v>Dostęp do sklepów tytoniowych i tradycyjnego handlu.</x:v>
      </x:c>
      <x:c r="Z177" s="62" t="str"/>
      <x:c r="AA177" s="62" t="str"/>
      <x:c r="AB177" s="50" t="n">
        <x:v>22</x:v>
      </x:c>
      <x:c r="AC177" s="50" t="n">
        <x:v>15</x:v>
      </x:c>
      <x:c r="AD177" s="50" t="n">
        <x:v>7</x:v>
      </x:c>
      <x:c r="AE177" s="50" t="n">
        <x:v>2</x:v>
      </x:c>
      <x:c r="AF177" s="50" t="n">
        <x:v>10</x:v>
      </x:c>
      <x:c r="AG177" s="50" t="n">
        <x:v>5</x:v>
      </x:c>
      <x:c r="AH177" s="57" t="n">
        <x:v>0</x:v>
      </x:c>
    </x:row>
    <x:row r="178" ht="34" customHeight="1">
      <x:c r="A178" s="87" t="n">
        <x:v>176</x:v>
      </x:c>
      <x:c r="B178" s="88" t="str">
        <x:f>IF(C178&gt;=82,"A"&amp;1&amp;" — kontakt natychmiast",IF(C178&gt;=72,"A"&amp;2&amp;" — kontakt w 7 dni",IF(C178&gt;=58,"B — kampania regionalna",IF(C178&gt;=42,"C — weryfikacja i nurturing","D — niski priorytet/wykluczyć"))))</x:f>
        <x:v>B — kampania regionalna</x:v>
      </x:c>
      <x:c r="C178" s="88" t="n">
        <x:f>MAX(0,MIN(100,SUM(AB178:AG178)-AH178))</x:f>
        <x:v>61</x:v>
      </x:c>
      <x:c r="D178" s="62" t="str">
        <x:v>BONUS Hurtownia Papierosów</x:v>
      </x:c>
      <x:c r="E178" s="62" t="str">
        <x:v>Potencjalny reseller / odbiorca hurtowy</x:v>
      </x:c>
      <x:c r="F178" s="62" t="str">
        <x:v>S2 — Hurtownie tytoniowe/FMCG</x:v>
      </x:c>
      <x:c r="G178" s="62" t="str">
        <x:v>Hurt B2B regionalny</x:v>
      </x:c>
      <x:c r="H178" s="62" t="str">
        <x:v>Świętokrzyskie</x:v>
      </x:c>
      <x:c r="I178" s="62" t="str">
        <x:v>Starachowice</x:v>
      </x:c>
      <x:c r="J178" s="62" t="str">
        <x:v>Nieustalona</x:v>
      </x:c>
      <x:c r="K178" s="62" t="str"/>
      <x:c r="L178" s="62" t="str"/>
      <x:c r="M178" s="62" t="str"/>
      <x:c r="N178" s="62" t="str"/>
      <x:c r="O178" s="62" t="str"/>
      <x:c r="P178" s="62" t="str">
        <x:v>ul. Spółdzielcza 49, 27-200 Starachowice</x:v>
      </x:c>
      <x:c r="Q178" s="62" t="str"/>
      <x:c r="R178" s="62" t="str"/>
      <x:c r="S178" s="62" t="str">
        <x:v>Tytoń</x:v>
      </x:c>
      <x:c r="T178" s="62" t="str">
        <x:f>IF(AND(K178&lt;&gt;"",L178&lt;&gt;"",O178&lt;&gt;""),"Pełny",IF(OR(K178&lt;&gt;"",L178&lt;&gt;""),"Częściowy","Brak bezpośredniego kontaktu"))</x:f>
        <x:v>Brak bezpośredniego kontaktu</x:v>
      </x:c>
      <x:c r="U178" s="62" t="str">
        <x:v>Nowy</x:v>
      </x:c>
      <x:c r="V178" s="62" t="str">
        <x:v>BILLS — hurt@bills.pl</x:v>
      </x:c>
      <x:c r="W178" s="62" t="str">
        <x:v>Dodać do kampanii regionalnej i wykonać follow-up telefoniczny</x:v>
      </x:c>
      <x:c r="X178" s="81" t="n">
        <x:f>IF(C178&gt;=82,'Model scoringu'!$B$4,IF(C178&gt;=72,'Model scoringu'!$B$5,IF(C178&gt;=58,'Model scoringu'!$B$6,"")))</x:f>
        <x:v>46234</x:v>
      </x:c>
      <x:c r="Y178" s="62" t="str">
        <x:v>Dostęp do sklepów tytoniowych i tradycyjnego handlu.</x:v>
      </x:c>
      <x:c r="Z178" s="62" t="str"/>
      <x:c r="AA178" s="62" t="str"/>
      <x:c r="AB178" s="50" t="n">
        <x:v>22</x:v>
      </x:c>
      <x:c r="AC178" s="50" t="n">
        <x:v>15</x:v>
      </x:c>
      <x:c r="AD178" s="50" t="n">
        <x:v>7</x:v>
      </x:c>
      <x:c r="AE178" s="50" t="n">
        <x:v>2</x:v>
      </x:c>
      <x:c r="AF178" s="50" t="n">
        <x:v>10</x:v>
      </x:c>
      <x:c r="AG178" s="50" t="n">
        <x:v>5</x:v>
      </x:c>
      <x:c r="AH178" s="57" t="n">
        <x:v>0</x:v>
      </x:c>
    </x:row>
    <x:row r="179" ht="34" customHeight="1">
      <x:c r="A179" s="87" t="n">
        <x:v>177</x:v>
      </x:c>
      <x:c r="B179" s="88" t="str">
        <x:f>IF(C179&gt;=82,"A"&amp;1&amp;" — kontakt natychmiast",IF(C179&gt;=72,"A"&amp;2&amp;" — kontakt w 7 dni",IF(C179&gt;=58,"B — kampania regionalna",IF(C179&gt;=42,"C — weryfikacja i nurturing","D — niski priorytet/wykluczyć"))))</x:f>
        <x:v>B — kampania regionalna</x:v>
      </x:c>
      <x:c r="C179" s="88" t="n">
        <x:f>MAX(0,MIN(100,SUM(AB179:AG179)-AH179))</x:f>
        <x:v>61</x:v>
      </x:c>
      <x:c r="D179" s="62" t="str">
        <x:v>ACORD Sp. z o.o.</x:v>
      </x:c>
      <x:c r="E179" s="62" t="str">
        <x:v>Potencjalny reseller / odbiorca hurtowy</x:v>
      </x:c>
      <x:c r="F179" s="62" t="str">
        <x:v>S2 — Hurtownie tytoniowe/FMCG</x:v>
      </x:c>
      <x:c r="G179" s="62" t="str">
        <x:v>Hurt B2B regionalny</x:v>
      </x:c>
      <x:c r="H179" s="62" t="str">
        <x:v>Opolskie</x:v>
      </x:c>
      <x:c r="I179" s="62" t="str">
        <x:v>Nysa</x:v>
      </x:c>
      <x:c r="J179" s="62" t="str">
        <x:v>Nieustalona</x:v>
      </x:c>
      <x:c r="K179" s="62" t="str"/>
      <x:c r="L179" s="62" t="str"/>
      <x:c r="M179" s="62" t="str"/>
      <x:c r="N179" s="62" t="str"/>
      <x:c r="O179" s="62" t="str"/>
      <x:c r="P179" s="62" t="str">
        <x:v>ul. Stanisławowska 30, Nysa</x:v>
      </x:c>
      <x:c r="Q179" s="62" t="str"/>
      <x:c r="R179" s="62" t="str"/>
      <x:c r="S179" s="62" t="str">
        <x:v>Akcesoria | Tytoń</x:v>
      </x:c>
      <x:c r="T179" s="62" t="str">
        <x:f>IF(AND(K179&lt;&gt;"",L179&lt;&gt;"",O179&lt;&gt;""),"Pełny",IF(OR(K179&lt;&gt;"",L179&lt;&gt;""),"Częściowy","Brak bezpośredniego kontaktu"))</x:f>
        <x:v>Brak bezpośredniego kontaktu</x:v>
      </x:c>
      <x:c r="U179" s="62" t="str">
        <x:v>Nowy</x:v>
      </x:c>
      <x:c r="V179" s="62" t="str">
        <x:v>BILLS — hurt@bills.pl</x:v>
      </x:c>
      <x:c r="W179" s="62" t="str">
        <x:v>Dodać do kampanii regionalnej i wykonać follow-up telefoniczny</x:v>
      </x:c>
      <x:c r="X179" s="81" t="n">
        <x:f>IF(C179&gt;=82,'Model scoringu'!$B$4,IF(C179&gt;=72,'Model scoringu'!$B$5,IF(C179&gt;=58,'Model scoringu'!$B$6,"")))</x:f>
        <x:v>46234</x:v>
      </x:c>
      <x:c r="Y179" s="62" t="str">
        <x:v>Dostęp do sklepów tytoniowych i tradycyjnego handlu.</x:v>
      </x:c>
      <x:c r="Z179" s="62" t="str"/>
      <x:c r="AA179" s="62" t="str"/>
      <x:c r="AB179" s="50" t="n">
        <x:v>22</x:v>
      </x:c>
      <x:c r="AC179" s="50" t="n">
        <x:v>15</x:v>
      </x:c>
      <x:c r="AD179" s="50" t="n">
        <x:v>7</x:v>
      </x:c>
      <x:c r="AE179" s="50" t="n">
        <x:v>2</x:v>
      </x:c>
      <x:c r="AF179" s="50" t="n">
        <x:v>10</x:v>
      </x:c>
      <x:c r="AG179" s="50" t="n">
        <x:v>5</x:v>
      </x:c>
      <x:c r="AH179" s="57" t="n">
        <x:v>0</x:v>
      </x:c>
    </x:row>
    <x:row r="180" ht="34" customHeight="1">
      <x:c r="A180" s="87" t="n">
        <x:v>178</x:v>
      </x:c>
      <x:c r="B180" s="88" t="str">
        <x:f>IF(C180&gt;=82,"A"&amp;1&amp;" — kontakt natychmiast",IF(C180&gt;=72,"A"&amp;2&amp;" — kontakt w 7 dni",IF(C180&gt;=58,"B — kampania regionalna",IF(C180&gt;=42,"C — weryfikacja i nurturing","D — niski priorytet/wykluczyć"))))</x:f>
        <x:v>B — kampania regionalna</x:v>
      </x:c>
      <x:c r="C180" s="88" t="n">
        <x:f>MAX(0,MIN(100,SUM(AB180:AG180)-AH180))</x:f>
        <x:v>60</x:v>
      </x:c>
      <x:c r="D180" s="62" t="str">
        <x:v>Hurtownia Papierosów "DANA"</x:v>
      </x:c>
      <x:c r="E180" s="62" t="str">
        <x:v>Partner cross-sell / kanał sąsiedni</x:v>
      </x:c>
      <x:c r="F180" s="62" t="str">
        <x:v>S4 — Vape/e-papierosy</x:v>
      </x:c>
      <x:c r="G180" s="62" t="str">
        <x:v>Hurt B2B regionalny</x:v>
      </x:c>
      <x:c r="H180" s="62" t="str">
        <x:v>Łódzkie</x:v>
      </x:c>
      <x:c r="I180" s="62" t="str">
        <x:v>Pabianice</x:v>
      </x:c>
      <x:c r="J180" s="62" t="str">
        <x:v>Średni</x:v>
      </x:c>
      <x:c r="K180" s="62" t="str"/>
      <x:c r="L180" s="62" t="str">
        <x:v>+48 42 214 97 55</x:v>
      </x:c>
      <x:c r="M180" s="62" t="str"/>
      <x:c r="N180" s="62" t="str"/>
      <x:c r="O180" s="62" t="str"/>
      <x:c r="P180" s="62" t="str">
        <x:v>ul. Łaska 46/48, 95-200 Pabianice</x:v>
      </x:c>
      <x:c r="Q180" s="62" t="str"/>
      <x:c r="R180" s="62" t="str"/>
      <x:c r="S180" s="62" t="str">
        <x:v>Papierosy | E-papierosy | Akcesoria Tytoniowe | Tytoń | Vape | Akcesoria</x:v>
      </x:c>
      <x:c r="T180" s="62" t="str">
        <x:f>IF(AND(K180&lt;&gt;"",L180&lt;&gt;"",O180&lt;&gt;""),"Pełny",IF(OR(K180&lt;&gt;"",L180&lt;&gt;""),"Częściowy","Brak bezpośredniego kontaktu"))</x:f>
        <x:v>Częściowy</x:v>
      </x:c>
      <x:c r="U180" s="62" t="str">
        <x:v>Nowy</x:v>
      </x:c>
      <x:c r="V180" s="62" t="str">
        <x:v>BILLS — hurt@bills.pl</x:v>
      </x:c>
      <x:c r="W180" s="62" t="str">
        <x:v>Dodać do kampanii regionalnej i wykonać follow-up telefoniczny</x:v>
      </x:c>
      <x:c r="X180" s="81" t="n">
        <x:f>IF(C180&gt;=82,'Model scoringu'!$B$4,IF(C180&gt;=72,'Model scoringu'!$B$5,IF(C180&gt;=58,'Model scoringu'!$B$6,"")))</x:f>
        <x:v>46234</x:v>
      </x:c>
      <x:c r="Y180" s="62" t="str">
        <x:v>Kanał sąsiedni z bazą klientów zainteresowanych produktami nikotynowymi.</x:v>
      </x:c>
      <x:c r="Z180" s="62" t="str"/>
      <x:c r="AA180" s="62" t="str">
        <x:v>Może mieć klientów zarówno tradycyjnych, jak i vape; należy potwierdzić aktywność. | Status źródłowy: Do weryfikacji — katalog</x:v>
      </x:c>
      <x:c r="AB180" s="50" t="n">
        <x:v>11</x:v>
      </x:c>
      <x:c r="AC180" s="50" t="n">
        <x:v>15</x:v>
      </x:c>
      <x:c r="AD180" s="50" t="n">
        <x:v>11</x:v>
      </x:c>
      <x:c r="AE180" s="50" t="n">
        <x:v>6</x:v>
      </x:c>
      <x:c r="AF180" s="50" t="n">
        <x:v>10</x:v>
      </x:c>
      <x:c r="AG180" s="50" t="n">
        <x:v>7</x:v>
      </x:c>
      <x:c r="AH180" s="57" t="n">
        <x:v>0</x:v>
      </x:c>
    </x:row>
    <x:row r="181" ht="34" customHeight="1">
      <x:c r="A181" s="87" t="n">
        <x:v>179</x:v>
      </x:c>
      <x:c r="B181" s="88" t="str">
        <x:f>IF(C181&gt;=82,"A"&amp;1&amp;" — kontakt natychmiast",IF(C181&gt;=72,"A"&amp;2&amp;" — kontakt w 7 dni",IF(C181&gt;=58,"B — kampania regionalna",IF(C181&gt;=42,"C — weryfikacja i nurturing","D — niski priorytet/wykluczyć"))))</x:f>
        <x:v>B — kampania regionalna</x:v>
      </x:c>
      <x:c r="C181" s="88" t="n">
        <x:f>MAX(0,MIN(100,SUM(AB181:AG181)-AH181))</x:f>
        <x:v>60</x:v>
      </x:c>
      <x:c r="D181" s="62" t="str">
        <x:v>Rafani 2 Tomasz Kitkowski</x:v>
      </x:c>
      <x:c r="E181" s="62" t="str">
        <x:v>Potencjalny reseller / odbiorca hurtowy</x:v>
      </x:c>
      <x:c r="F181" s="62" t="str">
        <x:v>S3 — Akcesoria dla palaczy/headshop</x:v>
      </x:c>
      <x:c r="G181" s="62" t="str">
        <x:v>Hurt B2B + detal</x:v>
      </x:c>
      <x:c r="H181" s="62" t="str">
        <x:v>Nieustalony</x:v>
      </x:c>
      <x:c r="I181" s="62" t="str">
        <x:v>Olsztyn (Feliksa Nowowiejskiego 1/110)</x:v>
      </x:c>
      <x:c r="J181" s="62" t="str">
        <x:v>Nieustalona</x:v>
      </x:c>
      <x:c r="K181" s="62" t="str"/>
      <x:c r="L181" s="62" t="str"/>
      <x:c r="M181" s="62" t="str"/>
      <x:c r="N181" s="62" t="str"/>
      <x:c r="O181" s="62" t="str">
        <x:v>https://m.yelp.com/search?find_desc=Tobacco+Shops&amp;find_loc=Olsztyn%2C+WN</x:v>
      </x:c>
      <x:c r="P181" s="62" t="str">
        <x:v>Olsztyn (Feliksa Nowowiejskiego 1/110)</x:v>
      </x:c>
      <x:c r="Q181" s="62" t="str"/>
      <x:c r="R181" s="62" t="str"/>
      <x:c r="S181" s="62" t="str">
        <x:v>Akcesoria Tytoniowe | Tytoń | Hurt | Sklep Tytoniowy</x:v>
      </x:c>
      <x:c r="T181" s="62" t="str">
        <x:f>IF(AND(K181&lt;&gt;"",L181&lt;&gt;"",O181&lt;&gt;""),"Pełny",IF(OR(K181&lt;&gt;"",L181&lt;&gt;""),"Częściowy","Brak bezpośredniego kontaktu"))</x:f>
        <x:v>Brak bezpośredniego kontaktu</x:v>
      </x:c>
      <x:c r="U181" s="62" t="str">
        <x:v>Nowy</x:v>
      </x:c>
      <x:c r="V181" s="62" t="str">
        <x:v>BILLS — hurt@bills.pl</x:v>
      </x:c>
      <x:c r="W181" s="62" t="str">
        <x:v>Dodać do kampanii regionalnej i wykonać follow-up telefoniczny</x:v>
      </x:c>
      <x:c r="X181" s="81" t="n">
        <x:f>IF(C181&gt;=82,'Model scoringu'!$B$4,IF(C181&gt;=72,'Model scoringu'!$B$5,IF(C181&gt;=58,'Model scoringu'!$B$6,"")))</x:f>
        <x:v>46234</x:v>
      </x:c>
      <x:c r="Y181" s="62" t="str">
        <x:v>Sprzedaż komplementarnych akcesoriów dla palaczy.</x:v>
      </x:c>
      <x:c r="Z181" s="62" t="str">
        <x:v>https://m.yelp.com/search?find_desc=Tobacco+Shops&amp;find_loc=Olsztyn%2C+WN</x:v>
      </x:c>
      <x:c r="AA181" s="62" t="str">
        <x:v>Status źródłowy: Niezweryfikowany</x:v>
      </x:c>
      <x:c r="AB181" s="50" t="n">
        <x:v>18</x:v>
      </x:c>
      <x:c r="AC181" s="50" t="n">
        <x:v>15</x:v>
      </x:c>
      <x:c r="AD181" s="50" t="n">
        <x:v>7</x:v>
      </x:c>
      <x:c r="AE181" s="50" t="n">
        <x:v>5</x:v>
      </x:c>
      <x:c r="AF181" s="50" t="n">
        <x:v>10</x:v>
      </x:c>
      <x:c r="AG181" s="50" t="n">
        <x:v>10</x:v>
      </x:c>
      <x:c r="AH181" s="57" t="n">
        <x:v>5</x:v>
      </x:c>
    </x:row>
    <x:row r="182" ht="34" customHeight="1">
      <x:c r="A182" s="87" t="n">
        <x:v>180</x:v>
      </x:c>
      <x:c r="B182" s="88" t="str">
        <x:f>IF(C182&gt;=82,"A"&amp;1&amp;" — kontakt natychmiast",IF(C182&gt;=72,"A"&amp;2&amp;" — kontakt w 7 dni",IF(C182&gt;=58,"B — kampania regionalna",IF(C182&gt;=42,"C — weryfikacja i nurturing","D — niski priorytet/wykluczyć"))))</x:f>
        <x:v>B — kampania regionalna</x:v>
      </x:c>
      <x:c r="C182" s="88" t="n">
        <x:f>MAX(0,MIN(100,SUM(AB182:AG182)-AH182))</x:f>
        <x:v>59</x:v>
      </x:c>
      <x:c r="D182" s="62" t="str">
        <x:v>E-nilsen.pl</x:v>
      </x:c>
      <x:c r="E182" s="62" t="str">
        <x:v>Partner strategiczny / producent</x:v>
      </x:c>
      <x:c r="F182" s="62" t="str">
        <x:v>S4 — Vape/e-papierosy</x:v>
      </x:c>
      <x:c r="G182" s="62" t="str">
        <x:v>Producent/importer/dystrybutor</x:v>
      </x:c>
      <x:c r="H182" s="62" t="str">
        <x:v>Mazowieckie</x:v>
      </x:c>
      <x:c r="I182" s="62" t="str">
        <x:v>Pruszków</x:v>
      </x:c>
      <x:c r="J182" s="62" t="str">
        <x:v>Nieustalona</x:v>
      </x:c>
      <x:c r="K182" s="62" t="str"/>
      <x:c r="L182" s="62" t="str">
        <x:v>+48 22 487 70 88</x:v>
      </x:c>
      <x:c r="M182" s="62" t="str"/>
      <x:c r="N182" s="62" t="str"/>
      <x:c r="O182" s="62" t="str"/>
      <x:c r="P182" s="62" t="str">
        <x:v>ul. Prusa 45, Pruszków</x:v>
      </x:c>
      <x:c r="Q182" s="62" t="str"/>
      <x:c r="R182" s="62" t="str"/>
      <x:c r="S182" s="62" t="str">
        <x:v>Vape</x:v>
      </x:c>
      <x:c r="T182" s="62" t="str">
        <x:f>IF(AND(K182&lt;&gt;"",L182&lt;&gt;"",O182&lt;&gt;""),"Pełny",IF(OR(K182&lt;&gt;"",L182&lt;&gt;""),"Częściowy","Brak bezpośredniego kontaktu"))</x:f>
        <x:v>Częściowy</x:v>
      </x:c>
      <x:c r="U182" s="62" t="str">
        <x:v>Nowy</x:v>
      </x:c>
      <x:c r="V182" s="62" t="str">
        <x:v>BILLS — hurt@bills.pl</x:v>
      </x:c>
      <x:c r="W182" s="62" t="str">
        <x:v>Dodać do kampanii regionalnej i wykonać follow-up telefoniczny</x:v>
      </x:c>
      <x:c r="X182" s="81" t="n">
        <x:f>IF(C182&gt;=82,'Model scoringu'!$B$4,IF(C182&gt;=72,'Model scoringu'!$B$5,IF(C182&gt;=58,'Model scoringu'!$B$6,"")))</x:f>
        <x:v>46234</x:v>
      </x:c>
      <x:c r="Y182" s="62" t="str">
        <x:v>Kanał sąsiedni z bazą klientów zainteresowanych produktami nikotynowymi; kompetencje importowo-dystrybucyjne.</x:v>
      </x:c>
      <x:c r="Z182" s="62" t="str"/>
      <x:c r="AA182" s="62" t="str"/>
      <x:c r="AB182" s="50" t="n">
        <x:v>11</x:v>
      </x:c>
      <x:c r="AC182" s="50" t="n">
        <x:v>20</x:v>
      </x:c>
      <x:c r="AD182" s="50" t="n">
        <x:v>7</x:v>
      </x:c>
      <x:c r="AE182" s="50" t="n">
        <x:v>6</x:v>
      </x:c>
      <x:c r="AF182" s="50" t="n">
        <x:v>10</x:v>
      </x:c>
      <x:c r="AG182" s="50" t="n">
        <x:v>5</x:v>
      </x:c>
      <x:c r="AH182" s="57" t="n">
        <x:v>0</x:v>
      </x:c>
    </x:row>
    <x:row r="183" ht="34" customHeight="1">
      <x:c r="A183" s="87" t="n">
        <x:v>181</x:v>
      </x:c>
      <x:c r="B183" s="88" t="str">
        <x:f>IF(C183&gt;=82,"A"&amp;1&amp;" — kontakt natychmiast",IF(C183&gt;=72,"A"&amp;2&amp;" — kontakt w 7 dni",IF(C183&gt;=58,"B — kampania regionalna",IF(C183&gt;=42,"C — weryfikacja i nurturing","D — niski priorytet/wykluczyć"))))</x:f>
        <x:v>B — kampania regionalna</x:v>
      </x:c>
      <x:c r="C183" s="88" t="n">
        <x:f>MAX(0,MIN(100,SUM(AB183:AG183)-AH183))</x:f>
        <x:v>59</x:v>
      </x:c>
      <x:c r="D183" s="62" t="str">
        <x:v>Caro. Hurtownia papierosów. Żach K.</x:v>
      </x:c>
      <x:c r="E183" s="62" t="str">
        <x:v>Partner cross-sell / kanał sąsiedni</x:v>
      </x:c>
      <x:c r="F183" s="62" t="str">
        <x:v>S4 — Vape/e-papierosy</x:v>
      </x:c>
      <x:c r="G183" s="62" t="str">
        <x:v>Hurt B2B regionalny</x:v>
      </x:c>
      <x:c r="H183" s="62" t="str">
        <x:v>Mazowieckie</x:v>
      </x:c>
      <x:c r="I183" s="62" t="str">
        <x:v>Ostrów Mazowiecka</x:v>
      </x:c>
      <x:c r="J183" s="62" t="str">
        <x:v>Nieustalona</x:v>
      </x:c>
      <x:c r="K183" s="62" t="str"/>
      <x:c r="L183" s="62" t="str">
        <x:v>+48 29 745 29 33</x:v>
      </x:c>
      <x:c r="M183" s="62" t="str"/>
      <x:c r="N183" s="62" t="str"/>
      <x:c r="O183" s="62" t="str"/>
      <x:c r="P183" s="62" t="str">
        <x:v>Lubiejewska 51, 07-300 Ostrów Mazowiecka, Polska</x:v>
      </x:c>
      <x:c r="Q183" s="62" t="str"/>
      <x:c r="R183" s="62" t="str"/>
      <x:c r="S183" s="62" t="str">
        <x:v>Akcesoria Tytoniowe | Tytoń | Akcesoria | Tytoń | Vape</x:v>
      </x:c>
      <x:c r="T183" s="62" t="str">
        <x:f>IF(AND(K183&lt;&gt;"",L183&lt;&gt;"",O183&lt;&gt;""),"Pełny",IF(OR(K183&lt;&gt;"",L183&lt;&gt;""),"Częściowy","Brak bezpośredniego kontaktu"))</x:f>
        <x:v>Częściowy</x:v>
      </x:c>
      <x:c r="U183" s="62" t="str">
        <x:v>Nowy</x:v>
      </x:c>
      <x:c r="V183" s="62" t="str">
        <x:v>BILLS — hurt@bills.pl</x:v>
      </x:c>
      <x:c r="W183" s="62" t="str">
        <x:v>Dodać do kampanii regionalnej i wykonać follow-up telefoniczny</x:v>
      </x:c>
      <x:c r="X183" s="81" t="n">
        <x:f>IF(C183&gt;=82,'Model scoringu'!$B$4,IF(C183&gt;=72,'Model scoringu'!$B$5,IF(C183&gt;=58,'Model scoringu'!$B$6,"")))</x:f>
        <x:v>46234</x:v>
      </x:c>
      <x:c r="Y183" s="62" t="str">
        <x:v>Kanał sąsiedni z bazą klientów zainteresowanych produktami nikotynowymi.</x:v>
      </x:c>
      <x:c r="Z183" s="62" t="str"/>
      <x:c r="AA183" s="62" t="str">
        <x:v>Dodano z Hurtownicy-Wszystkie-Dane-Zebrane_matrix_v10.html; Map link: https://www.google.com/maps/search/?api=1&amp;query=Caro.%20Hurtownia%20papieros%C3%B3w.%20%C5%BBach%20K.&amp;query_place_id=ChIJ57cTD0erH0cROZwd1Cm6oJU | Status źródłowy: Niezweryfikowany</x:v>
      </x:c>
      <x:c r="AB183" s="50" t="n">
        <x:v>11</x:v>
      </x:c>
      <x:c r="AC183" s="50" t="n">
        <x:v>15</x:v>
      </x:c>
      <x:c r="AD183" s="50" t="n">
        <x:v>7</x:v>
      </x:c>
      <x:c r="AE183" s="50" t="n">
        <x:v>6</x:v>
      </x:c>
      <x:c r="AF183" s="50" t="n">
        <x:v>10</x:v>
      </x:c>
      <x:c r="AG183" s="50" t="n">
        <x:v>10</x:v>
      </x:c>
      <x:c r="AH183" s="57" t="n">
        <x:v>0</x:v>
      </x:c>
    </x:row>
    <x:row r="184" ht="34" customHeight="1">
      <x:c r="A184" s="87" t="n">
        <x:v>182</x:v>
      </x:c>
      <x:c r="B184" s="88" t="str">
        <x:f>IF(C184&gt;=82,"A"&amp;1&amp;" — kontakt natychmiast",IF(C184&gt;=72,"A"&amp;2&amp;" — kontakt w 7 dni",IF(C184&gt;=58,"B — kampania regionalna",IF(C184&gt;=42,"C — weryfikacja i nurturing","D — niski priorytet/wykluczyć"))))</x:f>
        <x:v>B — kampania regionalna</x:v>
      </x:c>
      <x:c r="C184" s="88" t="n">
        <x:f>MAX(0,MIN(100,SUM(AB184:AG184)-AH184))</x:f>
        <x:v>59</x:v>
      </x:c>
      <x:c r="D184" s="62" t="str">
        <x:v>Tanie Palenie POINT</x:v>
      </x:c>
      <x:c r="E184" s="62" t="str">
        <x:v>Potencjalny reseller / odbiorca hurtowy</x:v>
      </x:c>
      <x:c r="F184" s="62" t="str">
        <x:v>S2 — Hurtownie tytoniowe/FMCG</x:v>
      </x:c>
      <x:c r="G184" s="62" t="str">
        <x:v>Hurt B2B regionalny</x:v>
      </x:c>
      <x:c r="H184" s="62" t="str">
        <x:v>Śląskie</x:v>
      </x:c>
      <x:c r="I184" s="62" t="str">
        <x:v>Gliwice</x:v>
      </x:c>
      <x:c r="J184" s="62" t="str">
        <x:v>Średni</x:v>
      </x:c>
      <x:c r="K184" s="62" t="str"/>
      <x:c r="L184" s="62" t="str"/>
      <x:c r="M184" s="62" t="str"/>
      <x:c r="N184" s="62" t="str"/>
      <x:c r="O184" s="62" t="str">
        <x:v>https://baza-firm.com.pl/tyton-...</x:v>
      </x:c>
      <x:c r="P184" s="62" t="str"/>
      <x:c r="Q184" s="62" t="str"/>
      <x:c r="R184" s="62" t="str"/>
      <x:c r="S184" s="62" t="str">
        <x:v>Tytoń</x:v>
      </x:c>
      <x:c r="T184" s="62" t="str">
        <x:f>IF(AND(K184&lt;&gt;"",L184&lt;&gt;"",O184&lt;&gt;""),"Pełny",IF(OR(K184&lt;&gt;"",L184&lt;&gt;""),"Częściowy","Brak bezpośredniego kontaktu"))</x:f>
        <x:v>Brak bezpośredniego kontaktu</x:v>
      </x:c>
      <x:c r="U184" s="62" t="str">
        <x:v>Nowy</x:v>
      </x:c>
      <x:c r="V184" s="62" t="str">
        <x:v>BILLS — hurt@bills.pl</x:v>
      </x:c>
      <x:c r="W184" s="62" t="str">
        <x:v>Dodać do kampanii regionalnej i wykonać follow-up telefoniczny</x:v>
      </x:c>
      <x:c r="X184" s="81" t="n">
        <x:f>IF(C184&gt;=82,'Model scoringu'!$B$4,IF(C184&gt;=72,'Model scoringu'!$B$5,IF(C184&gt;=58,'Model scoringu'!$B$6,"")))</x:f>
        <x:v>46234</x:v>
      </x:c>
      <x:c r="Y184" s="62" t="str">
        <x:v>Dostęp do sklepów tytoniowych i tradycyjnego handlu.</x:v>
      </x:c>
      <x:c r="Z184" s="62" t="str">
        <x:v>https://baza-firm.com.pl/tyton-...</x:v>
      </x:c>
      <x:c r="AA184" s="62" t="str">
        <x:v>Nie potwierdzone</x:v>
      </x:c>
      <x:c r="AB184" s="50" t="n">
        <x:v>22</x:v>
      </x:c>
      <x:c r="AC184" s="50" t="n">
        <x:v>15</x:v>
      </x:c>
      <x:c r="AD184" s="50" t="n">
        <x:v>11</x:v>
      </x:c>
      <x:c r="AE184" s="50" t="n">
        <x:v>3</x:v>
      </x:c>
      <x:c r="AF184" s="50" t="n">
        <x:v>8</x:v>
      </x:c>
      <x:c r="AG184" s="50" t="n">
        <x:v>5</x:v>
      </x:c>
      <x:c r="AH184" s="57" t="n">
        <x:v>5</x:v>
      </x:c>
    </x:row>
    <x:row r="185" ht="34" customHeight="1">
      <x:c r="A185" s="87" t="n">
        <x:v>183</x:v>
      </x:c>
      <x:c r="B185" s="88" t="str">
        <x:f>IF(C185&gt;=82,"A"&amp;1&amp;" — kontakt natychmiast",IF(C185&gt;=72,"A"&amp;2&amp;" — kontakt w 7 dni",IF(C185&gt;=58,"B — kampania regionalna",IF(C185&gt;=42,"C — weryfikacja i nurturing","D — niski priorytet/wykluczyć"))))</x:f>
        <x:v>B — kampania regionalna</x:v>
      </x:c>
      <x:c r="C185" s="88" t="n">
        <x:f>MAX(0,MIN(100,SUM(AB185:AG185)-AH185))</x:f>
        <x:v>59</x:v>
      </x:c>
      <x:c r="D185" s="62" t="str">
        <x:v>Pol-Ta</x:v>
      </x:c>
      <x:c r="E185" s="62" t="str">
        <x:v>Potencjalny reseller / odbiorca hurtowy</x:v>
      </x:c>
      <x:c r="F185" s="62" t="str">
        <x:v>S2 — Hurtownie tytoniowe/FMCG</x:v>
      </x:c>
      <x:c r="G185" s="62" t="str">
        <x:v>Hurt B2B regionalny</x:v>
      </x:c>
      <x:c r="H185" s="62" t="str">
        <x:v>Dolnośląskie</x:v>
      </x:c>
      <x:c r="I185" s="62" t="str">
        <x:v>Jelcz-Laskowice</x:v>
      </x:c>
      <x:c r="J185" s="62" t="str">
        <x:v>Średni</x:v>
      </x:c>
      <x:c r="K185" s="62" t="str"/>
      <x:c r="L185" s="62" t="str"/>
      <x:c r="M185" s="62" t="str"/>
      <x:c r="N185" s="62" t="str"/>
      <x:c r="O185" s="62" t="str">
        <x:v>https://pol-ta.pl</x:v>
      </x:c>
      <x:c r="P185" s="62" t="str"/>
      <x:c r="Q185" s="62" t="str"/>
      <x:c r="R185" s="62" t="str"/>
      <x:c r="S185" s="62" t="str">
        <x:v>Tytoń</x:v>
      </x:c>
      <x:c r="T185" s="62" t="str">
        <x:f>IF(AND(K185&lt;&gt;"",L185&lt;&gt;"",O185&lt;&gt;""),"Pełny",IF(OR(K185&lt;&gt;"",L185&lt;&gt;""),"Częściowy","Brak bezpośredniego kontaktu"))</x:f>
        <x:v>Brak bezpośredniego kontaktu</x:v>
      </x:c>
      <x:c r="U185" s="62" t="str">
        <x:v>Nowy</x:v>
      </x:c>
      <x:c r="V185" s="62" t="str">
        <x:v>BILLS — hurt@bills.pl</x:v>
      </x:c>
      <x:c r="W185" s="62" t="str">
        <x:v>Dodać do kampanii regionalnej i wykonać follow-up telefoniczny</x:v>
      </x:c>
      <x:c r="X185" s="81" t="n">
        <x:f>IF(C185&gt;=82,'Model scoringu'!$B$4,IF(C185&gt;=72,'Model scoringu'!$B$5,IF(C185&gt;=58,'Model scoringu'!$B$6,"")))</x:f>
        <x:v>46234</x:v>
      </x:c>
      <x:c r="Y185" s="62" t="str">
        <x:v>Dostęp do sklepów tytoniowych i tradycyjnego handlu.</x:v>
      </x:c>
      <x:c r="Z185" s="62" t="str">
        <x:v>https://pol-ta.pl</x:v>
      </x:c>
      <x:c r="AA185" s="62" t="str">
        <x:v>Nie potwierdzone</x:v>
      </x:c>
      <x:c r="AB185" s="50" t="n">
        <x:v>22</x:v>
      </x:c>
      <x:c r="AC185" s="50" t="n">
        <x:v>15</x:v>
      </x:c>
      <x:c r="AD185" s="50" t="n">
        <x:v>11</x:v>
      </x:c>
      <x:c r="AE185" s="50" t="n">
        <x:v>3</x:v>
      </x:c>
      <x:c r="AF185" s="50" t="n">
        <x:v>8</x:v>
      </x:c>
      <x:c r="AG185" s="50" t="n">
        <x:v>5</x:v>
      </x:c>
      <x:c r="AH185" s="57" t="n">
        <x:v>5</x:v>
      </x:c>
    </x:row>
    <x:row r="186" ht="34" customHeight="1">
      <x:c r="A186" s="87" t="n">
        <x:v>184</x:v>
      </x:c>
      <x:c r="B186" s="88" t="str">
        <x:f>IF(C186&gt;=82,"A"&amp;1&amp;" — kontakt natychmiast",IF(C186&gt;=72,"A"&amp;2&amp;" — kontakt w 7 dni",IF(C186&gt;=58,"B — kampania regionalna",IF(C186&gt;=42,"C — weryfikacja i nurturing","D — niski priorytet/wykluczyć"))))</x:f>
        <x:v>B — kampania regionalna</x:v>
      </x:c>
      <x:c r="C186" s="88" t="n">
        <x:f>MAX(0,MIN(100,SUM(AB186:AG186)-AH186))</x:f>
        <x:v>59</x:v>
      </x:c>
      <x:c r="D186" s="62" t="str">
        <x:v>Milo Sp. z o.o.</x:v>
      </x:c>
      <x:c r="E186" s="62" t="str">
        <x:v>Potencjalny reseller / odbiorca hurtowy</x:v>
      </x:c>
      <x:c r="F186" s="62" t="str">
        <x:v>S2 — Hurtownie tytoniowe/FMCG</x:v>
      </x:c>
      <x:c r="G186" s="62" t="str">
        <x:v>Hurt B2B regionalny</x:v>
      </x:c>
      <x:c r="H186" s="62" t="str">
        <x:v>Dolnośląskie</x:v>
      </x:c>
      <x:c r="I186" s="62" t="str">
        <x:v>Lubin</x:v>
      </x:c>
      <x:c r="J186" s="62" t="str">
        <x:v>Średni</x:v>
      </x:c>
      <x:c r="K186" s="62" t="str"/>
      <x:c r="L186" s="62" t="str"/>
      <x:c r="M186" s="62" t="str"/>
      <x:c r="N186" s="62" t="str"/>
      <x:c r="O186" s="62" t="str">
        <x:v>https://milo.lubin.pl</x:v>
      </x:c>
      <x:c r="P186" s="62" t="str"/>
      <x:c r="Q186" s="62" t="str"/>
      <x:c r="R186" s="62" t="str"/>
      <x:c r="S186" s="62" t="str">
        <x:v>Tytoń</x:v>
      </x:c>
      <x:c r="T186" s="62" t="str">
        <x:f>IF(AND(K186&lt;&gt;"",L186&lt;&gt;"",O186&lt;&gt;""),"Pełny",IF(OR(K186&lt;&gt;"",L186&lt;&gt;""),"Częściowy","Brak bezpośredniego kontaktu"))</x:f>
        <x:v>Brak bezpośredniego kontaktu</x:v>
      </x:c>
      <x:c r="U186" s="62" t="str">
        <x:v>Nowy</x:v>
      </x:c>
      <x:c r="V186" s="62" t="str">
        <x:v>BILLS — hurt@bills.pl</x:v>
      </x:c>
      <x:c r="W186" s="62" t="str">
        <x:v>Dodać do kampanii regionalnej i wykonać follow-up telefoniczny</x:v>
      </x:c>
      <x:c r="X186" s="81" t="n">
        <x:f>IF(C186&gt;=82,'Model scoringu'!$B$4,IF(C186&gt;=72,'Model scoringu'!$B$5,IF(C186&gt;=58,'Model scoringu'!$B$6,"")))</x:f>
        <x:v>46234</x:v>
      </x:c>
      <x:c r="Y186" s="62" t="str">
        <x:v>Dostęp do sklepów tytoniowych i tradycyjnego handlu.</x:v>
      </x:c>
      <x:c r="Z186" s="62" t="str">
        <x:v>https://milo.lubin.pl</x:v>
      </x:c>
      <x:c r="AA186" s="62" t="str">
        <x:v>Nie potwierdzone</x:v>
      </x:c>
      <x:c r="AB186" s="50" t="n">
        <x:v>22</x:v>
      </x:c>
      <x:c r="AC186" s="50" t="n">
        <x:v>15</x:v>
      </x:c>
      <x:c r="AD186" s="50" t="n">
        <x:v>11</x:v>
      </x:c>
      <x:c r="AE186" s="50" t="n">
        <x:v>3</x:v>
      </x:c>
      <x:c r="AF186" s="50" t="n">
        <x:v>8</x:v>
      </x:c>
      <x:c r="AG186" s="50" t="n">
        <x:v>5</x:v>
      </x:c>
      <x:c r="AH186" s="57" t="n">
        <x:v>5</x:v>
      </x:c>
    </x:row>
    <x:row r="187" ht="34" customHeight="1">
      <x:c r="A187" s="87" t="n">
        <x:v>185</x:v>
      </x:c>
      <x:c r="B187" s="88" t="str">
        <x:f>IF(C187&gt;=82,"A"&amp;1&amp;" — kontakt natychmiast",IF(C187&gt;=72,"A"&amp;2&amp;" — kontakt w 7 dni",IF(C187&gt;=58,"B — kampania regionalna",IF(C187&gt;=42,"C — weryfikacja i nurturing","D — niski priorytet/wykluczyć"))))</x:f>
        <x:v>B — kampania regionalna</x:v>
      </x:c>
      <x:c r="C187" s="88" t="n">
        <x:f>MAX(0,MIN(100,SUM(AB187:AG187)-AH187))</x:f>
        <x:v>59</x:v>
      </x:c>
      <x:c r="D187" s="62" t="str">
        <x:v>Hurtownia Papierosów Grażyna Baltadzi</x:v>
      </x:c>
      <x:c r="E187" s="62" t="str">
        <x:v>Potencjalny reseller / odbiorca hurtowy</x:v>
      </x:c>
      <x:c r="F187" s="62" t="str">
        <x:v>S2 — Hurtownie tytoniowe/FMCG</x:v>
      </x:c>
      <x:c r="G187" s="62" t="str">
        <x:v>Hurt B2B regionalny</x:v>
      </x:c>
      <x:c r="H187" s="62" t="str">
        <x:v>Dolnośląskie</x:v>
      </x:c>
      <x:c r="I187" s="62" t="str">
        <x:v>Lubin</x:v>
      </x:c>
      <x:c r="J187" s="62" t="str">
        <x:v>Średni</x:v>
      </x:c>
      <x:c r="K187" s="62" t="str"/>
      <x:c r="L187" s="62" t="str"/>
      <x:c r="M187" s="62" t="str"/>
      <x:c r="N187" s="62" t="str"/>
      <x:c r="O187" s="62" t="str">
        <x:v>https://papierosy.lubin.pl</x:v>
      </x:c>
      <x:c r="P187" s="62" t="str"/>
      <x:c r="Q187" s="62" t="str"/>
      <x:c r="R187" s="62" t="str"/>
      <x:c r="S187" s="62" t="str">
        <x:v>Papierosy | Tytoń</x:v>
      </x:c>
      <x:c r="T187" s="62" t="str">
        <x:f>IF(AND(K187&lt;&gt;"",L187&lt;&gt;"",O187&lt;&gt;""),"Pełny",IF(OR(K187&lt;&gt;"",L187&lt;&gt;""),"Częściowy","Brak bezpośredniego kontaktu"))</x:f>
        <x:v>Brak bezpośredniego kontaktu</x:v>
      </x:c>
      <x:c r="U187" s="62" t="str">
        <x:v>Nowy</x:v>
      </x:c>
      <x:c r="V187" s="62" t="str">
        <x:v>BILLS — hurt@bills.pl</x:v>
      </x:c>
      <x:c r="W187" s="62" t="str">
        <x:v>Dodać do kampanii regionalnej i wykonać follow-up telefoniczny</x:v>
      </x:c>
      <x:c r="X187" s="81" t="n">
        <x:f>IF(C187&gt;=82,'Model scoringu'!$B$4,IF(C187&gt;=72,'Model scoringu'!$B$5,IF(C187&gt;=58,'Model scoringu'!$B$6,"")))</x:f>
        <x:v>46234</x:v>
      </x:c>
      <x:c r="Y187" s="62" t="str">
        <x:v>Dostęp do sklepów tytoniowych i tradycyjnego handlu.</x:v>
      </x:c>
      <x:c r="Z187" s="62" t="str">
        <x:v>https://papierosy.lubin.pl</x:v>
      </x:c>
      <x:c r="AA187" s="62" t="str">
        <x:v>Nie potwierdzone</x:v>
      </x:c>
      <x:c r="AB187" s="50" t="n">
        <x:v>22</x:v>
      </x:c>
      <x:c r="AC187" s="50" t="n">
        <x:v>15</x:v>
      </x:c>
      <x:c r="AD187" s="50" t="n">
        <x:v>11</x:v>
      </x:c>
      <x:c r="AE187" s="50" t="n">
        <x:v>3</x:v>
      </x:c>
      <x:c r="AF187" s="50" t="n">
        <x:v>8</x:v>
      </x:c>
      <x:c r="AG187" s="50" t="n">
        <x:v>5</x:v>
      </x:c>
      <x:c r="AH187" s="57" t="n">
        <x:v>5</x:v>
      </x:c>
    </x:row>
    <x:row r="188" ht="34" customHeight="1">
      <x:c r="A188" s="87" t="n">
        <x:v>186</x:v>
      </x:c>
      <x:c r="B188" s="88" t="str">
        <x:f>IF(C188&gt;=82,"A"&amp;1&amp;" — kontakt natychmiast",IF(C188&gt;=72,"A"&amp;2&amp;" — kontakt w 7 dni",IF(C188&gt;=58,"B — kampania regionalna",IF(C188&gt;=42,"C — weryfikacja i nurturing","D — niski priorytet/wykluczyć"))))</x:f>
        <x:v>B — kampania regionalna</x:v>
      </x:c>
      <x:c r="C188" s="88" t="n">
        <x:f>MAX(0,MIN(100,SUM(AB188:AG188)-AH188))</x:f>
        <x:v>59</x:v>
      </x:c>
      <x:c r="D188" s="62" t="str">
        <x:v>Efekt Łódź</x:v>
      </x:c>
      <x:c r="E188" s="62" t="str">
        <x:v>Potencjalny reseller / odbiorca hurtowy</x:v>
      </x:c>
      <x:c r="F188" s="62" t="str">
        <x:v>S2 — Hurtownie tytoniowe/FMCG</x:v>
      </x:c>
      <x:c r="G188" s="62" t="str">
        <x:v>Hurt B2B regionalny</x:v>
      </x:c>
      <x:c r="H188" s="62" t="str">
        <x:v>Łódzkie</x:v>
      </x:c>
      <x:c r="I188" s="62" t="str">
        <x:v>Łódź</x:v>
      </x:c>
      <x:c r="J188" s="62" t="str">
        <x:v>Średni</x:v>
      </x:c>
      <x:c r="K188" s="62" t="str"/>
      <x:c r="L188" s="62" t="str"/>
      <x:c r="M188" s="62" t="str"/>
      <x:c r="N188" s="62" t="str"/>
      <x:c r="O188" s="62" t="str">
        <x:v>https://efekt-lodz.pl</x:v>
      </x:c>
      <x:c r="P188" s="62" t="str"/>
      <x:c r="Q188" s="62" t="str"/>
      <x:c r="R188" s="62" t="str"/>
      <x:c r="S188" s="62" t="str">
        <x:v>FMCG | Tytoń</x:v>
      </x:c>
      <x:c r="T188" s="62" t="str">
        <x:f>IF(AND(K188&lt;&gt;"",L188&lt;&gt;"",O188&lt;&gt;""),"Pełny",IF(OR(K188&lt;&gt;"",L188&lt;&gt;""),"Częściowy","Brak bezpośredniego kontaktu"))</x:f>
        <x:v>Brak bezpośredniego kontaktu</x:v>
      </x:c>
      <x:c r="U188" s="62" t="str">
        <x:v>Nowy</x:v>
      </x:c>
      <x:c r="V188" s="62" t="str">
        <x:v>BILLS — hurt@bills.pl</x:v>
      </x:c>
      <x:c r="W188" s="62" t="str">
        <x:v>Dodać do kampanii regionalnej i wykonać follow-up telefoniczny</x:v>
      </x:c>
      <x:c r="X188" s="81" t="n">
        <x:f>IF(C188&gt;=82,'Model scoringu'!$B$4,IF(C188&gt;=72,'Model scoringu'!$B$5,IF(C188&gt;=58,'Model scoringu'!$B$6,"")))</x:f>
        <x:v>46234</x:v>
      </x:c>
      <x:c r="Y188" s="62" t="str">
        <x:v>Dostęp do sklepów tytoniowych i tradycyjnego handlu.</x:v>
      </x:c>
      <x:c r="Z188" s="62" t="str">
        <x:v>https://efekt-lodz.pl</x:v>
      </x:c>
      <x:c r="AA188" s="62" t="str">
        <x:v>Nie potwierdzone</x:v>
      </x:c>
      <x:c r="AB188" s="50" t="n">
        <x:v>22</x:v>
      </x:c>
      <x:c r="AC188" s="50" t="n">
        <x:v>15</x:v>
      </x:c>
      <x:c r="AD188" s="50" t="n">
        <x:v>11</x:v>
      </x:c>
      <x:c r="AE188" s="50" t="n">
        <x:v>3</x:v>
      </x:c>
      <x:c r="AF188" s="50" t="n">
        <x:v>8</x:v>
      </x:c>
      <x:c r="AG188" s="50" t="n">
        <x:v>5</x:v>
      </x:c>
      <x:c r="AH188" s="57" t="n">
        <x:v>5</x:v>
      </x:c>
    </x:row>
    <x:row r="189" ht="34" customHeight="1">
      <x:c r="A189" s="87" t="n">
        <x:v>187</x:v>
      </x:c>
      <x:c r="B189" s="88" t="str">
        <x:f>IF(C189&gt;=82,"A"&amp;1&amp;" — kontakt natychmiast",IF(C189&gt;=72,"A"&amp;2&amp;" — kontakt w 7 dni",IF(C189&gt;=58,"B — kampania regionalna",IF(C189&gt;=42,"C — weryfikacja i nurturing","D — niski priorytet/wykluczyć"))))</x:f>
        <x:v>B — kampania regionalna</x:v>
      </x:c>
      <x:c r="C189" s="88" t="n">
        <x:f>MAX(0,MIN(100,SUM(AB189:AG189)-AH189))</x:f>
        <x:v>59</x:v>
      </x:c>
      <x:c r="D189" s="62" t="str">
        <x:v>Carmen Polska</x:v>
      </x:c>
      <x:c r="E189" s="62" t="str">
        <x:v>Potencjalny reseller / odbiorca hurtowy</x:v>
      </x:c>
      <x:c r="F189" s="62" t="str">
        <x:v>S2 — Hurtownie tytoniowe/FMCG</x:v>
      </x:c>
      <x:c r="G189" s="62" t="str">
        <x:v>Hurt B2B regionalny</x:v>
      </x:c>
      <x:c r="H189" s="62" t="str">
        <x:v>Łódzkie</x:v>
      </x:c>
      <x:c r="I189" s="62" t="str">
        <x:v>Kraków</x:v>
      </x:c>
      <x:c r="J189" s="62" t="str">
        <x:v>Średni</x:v>
      </x:c>
      <x:c r="K189" s="62" t="str"/>
      <x:c r="L189" s="62" t="str"/>
      <x:c r="M189" s="62" t="str"/>
      <x:c r="N189" s="62" t="str"/>
      <x:c r="O189" s="62" t="str">
        <x:v>https://carmenpolska.pl</x:v>
      </x:c>
      <x:c r="P189" s="62" t="str"/>
      <x:c r="Q189" s="62" t="str"/>
      <x:c r="R189" s="62" t="str"/>
      <x:c r="S189" s="62" t="str">
        <x:v>FMCG | Tytoń</x:v>
      </x:c>
      <x:c r="T189" s="62" t="str">
        <x:f>IF(AND(K189&lt;&gt;"",L189&lt;&gt;"",O189&lt;&gt;""),"Pełny",IF(OR(K189&lt;&gt;"",L189&lt;&gt;""),"Częściowy","Brak bezpośredniego kontaktu"))</x:f>
        <x:v>Brak bezpośredniego kontaktu</x:v>
      </x:c>
      <x:c r="U189" s="62" t="str">
        <x:v>Nowy</x:v>
      </x:c>
      <x:c r="V189" s="62" t="str">
        <x:v>BILLS — hurt@bills.pl</x:v>
      </x:c>
      <x:c r="W189" s="62" t="str">
        <x:v>Dodać do kampanii regionalnej i wykonać follow-up telefoniczny</x:v>
      </x:c>
      <x:c r="X189" s="81" t="n">
        <x:f>IF(C189&gt;=82,'Model scoringu'!$B$4,IF(C189&gt;=72,'Model scoringu'!$B$5,IF(C189&gt;=58,'Model scoringu'!$B$6,"")))</x:f>
        <x:v>46234</x:v>
      </x:c>
      <x:c r="Y189" s="62" t="str">
        <x:v>Dostęp do sklepów tytoniowych i tradycyjnego handlu.</x:v>
      </x:c>
      <x:c r="Z189" s="62" t="str">
        <x:v>https://carmenpolska.pl</x:v>
      </x:c>
      <x:c r="AA189" s="62" t="str">
        <x:v>Nie potwierdzone</x:v>
      </x:c>
      <x:c r="AB189" s="50" t="n">
        <x:v>22</x:v>
      </x:c>
      <x:c r="AC189" s="50" t="n">
        <x:v>15</x:v>
      </x:c>
      <x:c r="AD189" s="50" t="n">
        <x:v>11</x:v>
      </x:c>
      <x:c r="AE189" s="50" t="n">
        <x:v>3</x:v>
      </x:c>
      <x:c r="AF189" s="50" t="n">
        <x:v>8</x:v>
      </x:c>
      <x:c r="AG189" s="50" t="n">
        <x:v>5</x:v>
      </x:c>
      <x:c r="AH189" s="57" t="n">
        <x:v>5</x:v>
      </x:c>
    </x:row>
    <x:row r="190" ht="34" customHeight="1">
      <x:c r="A190" s="87" t="n">
        <x:v>188</x:v>
      </x:c>
      <x:c r="B190" s="88" t="str">
        <x:f>IF(C190&gt;=82,"A"&amp;1&amp;" — kontakt natychmiast",IF(C190&gt;=72,"A"&amp;2&amp;" — kontakt w 7 dni",IF(C190&gt;=58,"B — kampania regionalna",IF(C190&gt;=42,"C — weryfikacja i nurturing","D — niski priorytet/wykluczyć"))))</x:f>
        <x:v>B — kampania regionalna</x:v>
      </x:c>
      <x:c r="C190" s="88" t="n">
        <x:f>MAX(0,MIN(100,SUM(AB190:AG190)-AH190))</x:f>
        <x:v>59</x:v>
      </x:c>
      <x:c r="D190" s="62" t="str">
        <x:v>Tabak Kraków</x:v>
      </x:c>
      <x:c r="E190" s="62" t="str">
        <x:v>Potencjalny reseller / odbiorca hurtowy</x:v>
      </x:c>
      <x:c r="F190" s="62" t="str">
        <x:v>S2 — Hurtownie tytoniowe/FMCG</x:v>
      </x:c>
      <x:c r="G190" s="62" t="str">
        <x:v>Hurt B2B regionalny</x:v>
      </x:c>
      <x:c r="H190" s="62" t="str">
        <x:v>Małopolskie</x:v>
      </x:c>
      <x:c r="I190" s="62" t="str">
        <x:v>Kraków</x:v>
      </x:c>
      <x:c r="J190" s="62" t="str">
        <x:v>Nieustalona</x:v>
      </x:c>
      <x:c r="K190" s="62" t="str"/>
      <x:c r="L190" s="62" t="str"/>
      <x:c r="M190" s="62" t="str"/>
      <x:c r="N190" s="62" t="str"/>
      <x:c r="O190" s="62" t="str"/>
      <x:c r="P190" s="62" t="str"/>
      <x:c r="Q190" s="62" t="str"/>
      <x:c r="R190" s="62" t="str"/>
      <x:c r="S190" s="62" t="str">
        <x:v>Tytoń</x:v>
      </x:c>
      <x:c r="T190" s="62" t="str">
        <x:f>IF(AND(K190&lt;&gt;"",L190&lt;&gt;"",O190&lt;&gt;""),"Pełny",IF(OR(K190&lt;&gt;"",L190&lt;&gt;""),"Częściowy","Brak bezpośredniego kontaktu"))</x:f>
        <x:v>Brak bezpośredniego kontaktu</x:v>
      </x:c>
      <x:c r="U190" s="62" t="str">
        <x:v>Nowy</x:v>
      </x:c>
      <x:c r="V190" s="62" t="str">
        <x:v>BILLS — hurt@bills.pl</x:v>
      </x:c>
      <x:c r="W190" s="62" t="str">
        <x:v>Dodać do kampanii regionalnej i wykonać follow-up telefoniczny</x:v>
      </x:c>
      <x:c r="X190" s="81" t="n">
        <x:f>IF(C190&gt;=82,'Model scoringu'!$B$4,IF(C190&gt;=72,'Model scoringu'!$B$5,IF(C190&gt;=58,'Model scoringu'!$B$6,"")))</x:f>
        <x:v>46234</x:v>
      </x:c>
      <x:c r="Y190" s="62" t="str">
        <x:v>Dostęp do sklepów tytoniowych i tradycyjnego handlu.</x:v>
      </x:c>
      <x:c r="Z190" s="62" t="str"/>
      <x:c r="AA190" s="62" t="str"/>
      <x:c r="AB190" s="50" t="n">
        <x:v>22</x:v>
      </x:c>
      <x:c r="AC190" s="50" t="n">
        <x:v>15</x:v>
      </x:c>
      <x:c r="AD190" s="50" t="n">
        <x:v>7</x:v>
      </x:c>
      <x:c r="AE190" s="50" t="n">
        <x:v>0</x:v>
      </x:c>
      <x:c r="AF190" s="50" t="n">
        <x:v>10</x:v>
      </x:c>
      <x:c r="AG190" s="50" t="n">
        <x:v>5</x:v>
      </x:c>
      <x:c r="AH190" s="57" t="n">
        <x:v>0</x:v>
      </x:c>
    </x:row>
    <x:row r="191" ht="34" customHeight="1">
      <x:c r="A191" s="87" t="n">
        <x:v>189</x:v>
      </x:c>
      <x:c r="B191" s="88" t="str">
        <x:f>IF(C191&gt;=82,"A"&amp;1&amp;" — kontakt natychmiast",IF(C191&gt;=72,"A"&amp;2&amp;" — kontakt w 7 dni",IF(C191&gt;=58,"B — kampania regionalna",IF(C191&gt;=42,"C — weryfikacja i nurturing","D — niski priorytet/wykluczyć"))))</x:f>
        <x:v>B — kampania regionalna</x:v>
      </x:c>
      <x:c r="C191" s="88" t="n">
        <x:f>MAX(0,MIN(100,SUM(AB191:AG191)-AH191))</x:f>
        <x:v>59</x:v>
      </x:c>
      <x:c r="D191" s="62" t="str">
        <x:v>Step Two</x:v>
      </x:c>
      <x:c r="E191" s="62" t="str">
        <x:v>Potencjalny reseller / odbiorca hurtowy</x:v>
      </x:c>
      <x:c r="F191" s="62" t="str">
        <x:v>S2 — Hurtownie tytoniowe/FMCG</x:v>
      </x:c>
      <x:c r="G191" s="62" t="str">
        <x:v>Hurt B2B regionalny</x:v>
      </x:c>
      <x:c r="H191" s="62" t="str">
        <x:v>Nieustalony</x:v>
      </x:c>
      <x:c r="I191" s="62" t="str"/>
      <x:c r="J191" s="62" t="str">
        <x:v>Nieustalona</x:v>
      </x:c>
      <x:c r="K191" s="62" t="str"/>
      <x:c r="L191" s="62" t="str"/>
      <x:c r="M191" s="62" t="str"/>
      <x:c r="N191" s="62" t="str"/>
      <x:c r="O191" s="62" t="str"/>
      <x:c r="P191" s="62" t="str"/>
      <x:c r="Q191" s="62" t="str">
        <x:v>6342812402</x:v>
      </x:c>
      <x:c r="R191" s="62" t="str"/>
      <x:c r="S191" s="62" t="str">
        <x:v>Akcesoria | Tytoń</x:v>
      </x:c>
      <x:c r="T191" s="62" t="str">
        <x:f>IF(AND(K191&lt;&gt;"",L191&lt;&gt;"",O191&lt;&gt;""),"Pełny",IF(OR(K191&lt;&gt;"",L191&lt;&gt;""),"Częściowy","Brak bezpośredniego kontaktu"))</x:f>
        <x:v>Brak bezpośredniego kontaktu</x:v>
      </x:c>
      <x:c r="U191" s="62" t="str">
        <x:v>Nowy</x:v>
      </x:c>
      <x:c r="V191" s="62" t="str">
        <x:v>BILLS — hurt@bills.pl</x:v>
      </x:c>
      <x:c r="W191" s="62" t="str">
        <x:v>Dodać do kampanii regionalnej i wykonać follow-up telefoniczny</x:v>
      </x:c>
      <x:c r="X191" s="81" t="n">
        <x:f>IF(C191&gt;=82,'Model scoringu'!$B$4,IF(C191&gt;=72,'Model scoringu'!$B$5,IF(C191&gt;=58,'Model scoringu'!$B$6,"")))</x:f>
        <x:v>46234</x:v>
      </x:c>
      <x:c r="Y191" s="62" t="str">
        <x:v>Dostęp do sklepów tytoniowych i tradycyjnego handlu.</x:v>
      </x:c>
      <x:c r="Z191" s="62" t="str"/>
      <x:c r="AA191" s="62" t="str">
        <x:v>Z listy BISTA; pomorskie i wielkopolskie</x:v>
      </x:c>
      <x:c r="AB191" s="50" t="n">
        <x:v>22</x:v>
      </x:c>
      <x:c r="AC191" s="50" t="n">
        <x:v>15</x:v>
      </x:c>
      <x:c r="AD191" s="50" t="n">
        <x:v>7</x:v>
      </x:c>
      <x:c r="AE191" s="50" t="n">
        <x:v>0</x:v>
      </x:c>
      <x:c r="AF191" s="50" t="n">
        <x:v>10</x:v>
      </x:c>
      <x:c r="AG191" s="50" t="n">
        <x:v>5</x:v>
      </x:c>
      <x:c r="AH191" s="57" t="n">
        <x:v>0</x:v>
      </x:c>
    </x:row>
    <x:row r="192" ht="34" customHeight="1">
      <x:c r="A192" s="87" t="n">
        <x:v>190</x:v>
      </x:c>
      <x:c r="B192" s="88" t="str">
        <x:f>IF(C192&gt;=82,"A"&amp;1&amp;" — kontakt natychmiast",IF(C192&gt;=72,"A"&amp;2&amp;" — kontakt w 7 dni",IF(C192&gt;=58,"B — kampania regionalna",IF(C192&gt;=42,"C — weryfikacja i nurturing","D — niski priorytet/wykluczyć"))))</x:f>
        <x:v>B — kampania regionalna</x:v>
      </x:c>
      <x:c r="C192" s="88" t="n">
        <x:f>MAX(0,MIN(100,SUM(AB192:AG192)-AH192))</x:f>
        <x:v>58</x:v>
      </x:c>
      <x:c r="D192" s="62" t="str">
        <x:v>Tytoniowo</x:v>
      </x:c>
      <x:c r="E192" s="62" t="str">
        <x:v>Potencjalny reseller / odbiorca hurtowy</x:v>
      </x:c>
      <x:c r="F192" s="62" t="str">
        <x:v>S3 — Akcesoria dla palaczy/headshop</x:v>
      </x:c>
      <x:c r="G192" s="62" t="str">
        <x:v>Hurt B2B + detal</x:v>
      </x:c>
      <x:c r="H192" s="62" t="str">
        <x:v>Nieustalony</x:v>
      </x:c>
      <x:c r="I192" s="62" t="str"/>
      <x:c r="J192" s="62" t="str">
        <x:v>Nieustalona</x:v>
      </x:c>
      <x:c r="K192" s="62" t="str"/>
      <x:c r="L192" s="62" t="str"/>
      <x:c r="M192" s="62" t="str"/>
      <x:c r="N192" s="62" t="str"/>
      <x:c r="O192" s="62" t="str">
        <x:v>https://www.tytoniowo.pl</x:v>
      </x:c>
      <x:c r="P192" s="62" t="str"/>
      <x:c r="Q192" s="62" t="str"/>
      <x:c r="R192" s="62" t="str"/>
      <x:c r="S192" s="62" t="str">
        <x:v>Akcesoria Tytoniowe | Tytoń | Hurt | Sklep Tytoniowy</x:v>
      </x:c>
      <x:c r="T192" s="62" t="str">
        <x:f>IF(AND(K192&lt;&gt;"",L192&lt;&gt;"",O192&lt;&gt;""),"Pełny",IF(OR(K192&lt;&gt;"",L192&lt;&gt;""),"Częściowy","Brak bezpośredniego kontaktu"))</x:f>
        <x:v>Brak bezpośredniego kontaktu</x:v>
      </x:c>
      <x:c r="U192" s="62" t="str">
        <x:v>Nowy</x:v>
      </x:c>
      <x:c r="V192" s="62" t="str">
        <x:v>BILLS — hurt@bills.pl</x:v>
      </x:c>
      <x:c r="W192" s="62" t="str">
        <x:v>Dodać do kampanii regionalnej i wykonać follow-up telefoniczny</x:v>
      </x:c>
      <x:c r="X192" s="81" t="n">
        <x:f>IF(C192&gt;=82,'Model scoringu'!$B$4,IF(C192&gt;=72,'Model scoringu'!$B$5,IF(C192&gt;=58,'Model scoringu'!$B$6,"")))</x:f>
        <x:v>46234</x:v>
      </x:c>
      <x:c r="Y192" s="62" t="str">
        <x:v>Sprzedaż komplementarnych akcesoriów dla palaczy.</x:v>
      </x:c>
      <x:c r="Z192" s="62" t="str">
        <x:v>https://www.tytoniowo.pl</x:v>
      </x:c>
      <x:c r="AA192" s="62" t="str">
        <x:v>Status źródłowy: Niezweryfikowany</x:v>
      </x:c>
      <x:c r="AB192" s="50" t="n">
        <x:v>18</x:v>
      </x:c>
      <x:c r="AC192" s="50" t="n">
        <x:v>15</x:v>
      </x:c>
      <x:c r="AD192" s="50" t="n">
        <x:v>7</x:v>
      </x:c>
      <x:c r="AE192" s="50" t="n">
        <x:v>3</x:v>
      </x:c>
      <x:c r="AF192" s="50" t="n">
        <x:v>10</x:v>
      </x:c>
      <x:c r="AG192" s="50" t="n">
        <x:v>10</x:v>
      </x:c>
      <x:c r="AH192" s="57" t="n">
        <x:v>5</x:v>
      </x:c>
    </x:row>
    <x:row r="193" ht="34" customHeight="1">
      <x:c r="A193" s="87" t="n">
        <x:v>191</x:v>
      </x:c>
      <x:c r="B193" s="88" t="str">
        <x:f>IF(C193&gt;=82,"A"&amp;1&amp;" — kontakt natychmiast",IF(C193&gt;=72,"A"&amp;2&amp;" — kontakt w 7 dni",IF(C193&gt;=58,"B — kampania regionalna",IF(C193&gt;=42,"C — weryfikacja i nurturing","D — niski priorytet/wykluczyć"))))</x:f>
        <x:v>B — kampania regionalna</x:v>
      </x:c>
      <x:c r="C193" s="88" t="n">
        <x:f>MAX(0,MIN(100,SUM(AB193:AG193)-AH193))</x:f>
        <x:v>58</x:v>
      </x:c>
      <x:c r="D193" s="62" t="str">
        <x:v>Trafika u Jakuba</x:v>
      </x:c>
      <x:c r="E193" s="62" t="str">
        <x:v>Potencjalny reseller / odbiorca hurtowy</x:v>
      </x:c>
      <x:c r="F193" s="62" t="str">
        <x:v>S3 — Akcesoria dla palaczy/headshop</x:v>
      </x:c>
      <x:c r="G193" s="62" t="str">
        <x:v>Hurt B2B + detal</x:v>
      </x:c>
      <x:c r="H193" s="62" t="str">
        <x:v>Nieustalony</x:v>
      </x:c>
      <x:c r="I193" s="62" t="str"/>
      <x:c r="J193" s="62" t="str">
        <x:v>Nieustalona</x:v>
      </x:c>
      <x:c r="K193" s="62" t="str"/>
      <x:c r="L193" s="62" t="str"/>
      <x:c r="M193" s="62" t="str"/>
      <x:c r="N193" s="62" t="str"/>
      <x:c r="O193" s="62" t="str">
        <x:v>http://www.jakubphu.pl</x:v>
      </x:c>
      <x:c r="P193" s="62" t="str"/>
      <x:c r="Q193" s="62" t="str"/>
      <x:c r="R193" s="62" t="str"/>
      <x:c r="S193" s="62" t="str">
        <x:v>Akcesoria Tytoniowe | Tytoń | Hurt | Sklep Tytoniowy</x:v>
      </x:c>
      <x:c r="T193" s="62" t="str">
        <x:f>IF(AND(K193&lt;&gt;"",L193&lt;&gt;"",O193&lt;&gt;""),"Pełny",IF(OR(K193&lt;&gt;"",L193&lt;&gt;""),"Częściowy","Brak bezpośredniego kontaktu"))</x:f>
        <x:v>Brak bezpośredniego kontaktu</x:v>
      </x:c>
      <x:c r="U193" s="62" t="str">
        <x:v>Nowy</x:v>
      </x:c>
      <x:c r="V193" s="62" t="str">
        <x:v>BILLS — hurt@bills.pl</x:v>
      </x:c>
      <x:c r="W193" s="62" t="str">
        <x:v>Dodać do kampanii regionalnej i wykonać follow-up telefoniczny</x:v>
      </x:c>
      <x:c r="X193" s="81" t="n">
        <x:f>IF(C193&gt;=82,'Model scoringu'!$B$4,IF(C193&gt;=72,'Model scoringu'!$B$5,IF(C193&gt;=58,'Model scoringu'!$B$6,"")))</x:f>
        <x:v>46234</x:v>
      </x:c>
      <x:c r="Y193" s="62" t="str">
        <x:v>Sprzedaż komplementarnych akcesoriów dla palaczy.</x:v>
      </x:c>
      <x:c r="Z193" s="62" t="str">
        <x:v>http://www.jakubphu.pl</x:v>
      </x:c>
      <x:c r="AA193" s="62" t="str">
        <x:v>Status źródłowy: Niezweryfikowany</x:v>
      </x:c>
      <x:c r="AB193" s="50" t="n">
        <x:v>18</x:v>
      </x:c>
      <x:c r="AC193" s="50" t="n">
        <x:v>15</x:v>
      </x:c>
      <x:c r="AD193" s="50" t="n">
        <x:v>7</x:v>
      </x:c>
      <x:c r="AE193" s="50" t="n">
        <x:v>3</x:v>
      </x:c>
      <x:c r="AF193" s="50" t="n">
        <x:v>10</x:v>
      </x:c>
      <x:c r="AG193" s="50" t="n">
        <x:v>10</x:v>
      </x:c>
      <x:c r="AH193" s="57" t="n">
        <x:v>5</x:v>
      </x:c>
    </x:row>
    <x:row r="194" ht="34" customHeight="1">
      <x:c r="A194" s="87" t="n">
        <x:v>192</x:v>
      </x:c>
      <x:c r="B194" s="88" t="str">
        <x:f>IF(C194&gt;=82,"A"&amp;1&amp;" — kontakt natychmiast",IF(C194&gt;=72,"A"&amp;2&amp;" — kontakt w 7 dni",IF(C194&gt;=58,"B — kampania regionalna",IF(C194&gt;=42,"C — weryfikacja i nurturing","D — niski priorytet/wykluczyć"))))</x:f>
        <x:v>B — kampania regionalna</x:v>
      </x:c>
      <x:c r="C194" s="88" t="n">
        <x:f>MAX(0,MIN(100,SUM(AB194:AG194)-AH194))</x:f>
        <x:v>58</x:v>
      </x:c>
      <x:c r="D194" s="62" t="str">
        <x:v>Smok</x:v>
      </x:c>
      <x:c r="E194" s="62" t="str">
        <x:v>Potencjalny reseller / odbiorca hurtowy</x:v>
      </x:c>
      <x:c r="F194" s="62" t="str">
        <x:v>S3 — Akcesoria dla palaczy/headshop</x:v>
      </x:c>
      <x:c r="G194" s="62" t="str">
        <x:v>Hurt B2B + detal</x:v>
      </x:c>
      <x:c r="H194" s="62" t="str">
        <x:v>Nieustalony</x:v>
      </x:c>
      <x:c r="I194" s="62" t="str"/>
      <x:c r="J194" s="62" t="str">
        <x:v>Nieustalona</x:v>
      </x:c>
      <x:c r="K194" s="62" t="str"/>
      <x:c r="L194" s="62" t="str"/>
      <x:c r="M194" s="62" t="str"/>
      <x:c r="N194" s="62" t="str"/>
      <x:c r="O194" s="62" t="str">
        <x:v>https://smok.pl</x:v>
      </x:c>
      <x:c r="P194" s="62" t="str"/>
      <x:c r="Q194" s="62" t="str"/>
      <x:c r="R194" s="62" t="str"/>
      <x:c r="S194" s="62" t="str">
        <x:v>Akcesoria Tytoniowe | Tytoń | Hurt | Sklep Tytoniowy</x:v>
      </x:c>
      <x:c r="T194" s="62" t="str">
        <x:f>IF(AND(K194&lt;&gt;"",L194&lt;&gt;"",O194&lt;&gt;""),"Pełny",IF(OR(K194&lt;&gt;"",L194&lt;&gt;""),"Częściowy","Brak bezpośredniego kontaktu"))</x:f>
        <x:v>Brak bezpośredniego kontaktu</x:v>
      </x:c>
      <x:c r="U194" s="62" t="str">
        <x:v>Nowy</x:v>
      </x:c>
      <x:c r="V194" s="62" t="str">
        <x:v>BILLS — hurt@bills.pl</x:v>
      </x:c>
      <x:c r="W194" s="62" t="str">
        <x:v>Dodać do kampanii regionalnej i wykonać follow-up telefoniczny</x:v>
      </x:c>
      <x:c r="X194" s="81" t="n">
        <x:f>IF(C194&gt;=82,'Model scoringu'!$B$4,IF(C194&gt;=72,'Model scoringu'!$B$5,IF(C194&gt;=58,'Model scoringu'!$B$6,"")))</x:f>
        <x:v>46234</x:v>
      </x:c>
      <x:c r="Y194" s="62" t="str">
        <x:v>Sprzedaż komplementarnych akcesoriów dla palaczy.</x:v>
      </x:c>
      <x:c r="Z194" s="62" t="str">
        <x:v>https://smok.pl</x:v>
      </x:c>
      <x:c r="AA194" s="62" t="str">
        <x:v>Status źródłowy: Niezweryfikowany</x:v>
      </x:c>
      <x:c r="AB194" s="50" t="n">
        <x:v>18</x:v>
      </x:c>
      <x:c r="AC194" s="50" t="n">
        <x:v>15</x:v>
      </x:c>
      <x:c r="AD194" s="50" t="n">
        <x:v>7</x:v>
      </x:c>
      <x:c r="AE194" s="50" t="n">
        <x:v>3</x:v>
      </x:c>
      <x:c r="AF194" s="50" t="n">
        <x:v>10</x:v>
      </x:c>
      <x:c r="AG194" s="50" t="n">
        <x:v>10</x:v>
      </x:c>
      <x:c r="AH194" s="57" t="n">
        <x:v>5</x:v>
      </x:c>
    </x:row>
    <x:row r="195" ht="34" customHeight="1">
      <x:c r="A195" s="87" t="n">
        <x:v>193</x:v>
      </x:c>
      <x:c r="B195" s="88" t="str">
        <x:f>IF(C195&gt;=82,"A"&amp;1&amp;" — kontakt natychmiast",IF(C195&gt;=72,"A"&amp;2&amp;" — kontakt w 7 dni",IF(C195&gt;=58,"B — kampania regionalna",IF(C195&gt;=42,"C — weryfikacja i nurturing","D — niski priorytet/wykluczyć"))))</x:f>
        <x:v>B — kampania regionalna</x:v>
      </x:c>
      <x:c r="C195" s="88" t="n">
        <x:f>MAX(0,MIN(100,SUM(AB195:AG195)-AH195))</x:f>
        <x:v>58</x:v>
      </x:c>
      <x:c r="D195" s="62" t="str">
        <x:v>Elso</x:v>
      </x:c>
      <x:c r="E195" s="62" t="str">
        <x:v>Potencjalny reseller / odbiorca hurtowy</x:v>
      </x:c>
      <x:c r="F195" s="62" t="str">
        <x:v>S3 — Akcesoria dla palaczy/headshop</x:v>
      </x:c>
      <x:c r="G195" s="62" t="str">
        <x:v>Hurt B2B + detal</x:v>
      </x:c>
      <x:c r="H195" s="62" t="str">
        <x:v>Nieustalony</x:v>
      </x:c>
      <x:c r="I195" s="62" t="str"/>
      <x:c r="J195" s="62" t="str">
        <x:v>Nieustalona</x:v>
      </x:c>
      <x:c r="K195" s="62" t="str"/>
      <x:c r="L195" s="62" t="str"/>
      <x:c r="M195" s="62" t="str"/>
      <x:c r="N195" s="62" t="str"/>
      <x:c r="O195" s="62" t="str">
        <x:v>https://www.elso.pl</x:v>
      </x:c>
      <x:c r="P195" s="62" t="str"/>
      <x:c r="Q195" s="62" t="str"/>
      <x:c r="R195" s="62" t="str"/>
      <x:c r="S195" s="62" t="str">
        <x:v>Akcesoria Tytoniowe | Tytoń | Hurt | Sklep Tytoniowy</x:v>
      </x:c>
      <x:c r="T195" s="62" t="str">
        <x:f>IF(AND(K195&lt;&gt;"",L195&lt;&gt;"",O195&lt;&gt;""),"Pełny",IF(OR(K195&lt;&gt;"",L195&lt;&gt;""),"Częściowy","Brak bezpośredniego kontaktu"))</x:f>
        <x:v>Brak bezpośredniego kontaktu</x:v>
      </x:c>
      <x:c r="U195" s="62" t="str">
        <x:v>Nowy</x:v>
      </x:c>
      <x:c r="V195" s="62" t="str">
        <x:v>BILLS — hurt@bills.pl</x:v>
      </x:c>
      <x:c r="W195" s="62" t="str">
        <x:v>Dodać do kampanii regionalnej i wykonać follow-up telefoniczny</x:v>
      </x:c>
      <x:c r="X195" s="81" t="n">
        <x:f>IF(C195&gt;=82,'Model scoringu'!$B$4,IF(C195&gt;=72,'Model scoringu'!$B$5,IF(C195&gt;=58,'Model scoringu'!$B$6,"")))</x:f>
        <x:v>46234</x:v>
      </x:c>
      <x:c r="Y195" s="62" t="str">
        <x:v>Sprzedaż komplementarnych akcesoriów dla palaczy.</x:v>
      </x:c>
      <x:c r="Z195" s="62" t="str">
        <x:v>https://www.elso.pl</x:v>
      </x:c>
      <x:c r="AA195" s="62" t="str">
        <x:v>Status źródłowy: Niezweryfikowany</x:v>
      </x:c>
      <x:c r="AB195" s="50" t="n">
        <x:v>18</x:v>
      </x:c>
      <x:c r="AC195" s="50" t="n">
        <x:v>15</x:v>
      </x:c>
      <x:c r="AD195" s="50" t="n">
        <x:v>7</x:v>
      </x:c>
      <x:c r="AE195" s="50" t="n">
        <x:v>3</x:v>
      </x:c>
      <x:c r="AF195" s="50" t="n">
        <x:v>10</x:v>
      </x:c>
      <x:c r="AG195" s="50" t="n">
        <x:v>10</x:v>
      </x:c>
      <x:c r="AH195" s="57" t="n">
        <x:v>5</x:v>
      </x:c>
    </x:row>
    <x:row r="196" ht="34" customHeight="1">
      <x:c r="A196" s="87" t="n">
        <x:v>194</x:v>
      </x:c>
      <x:c r="B196" s="88" t="str">
        <x:f>IF(C196&gt;=82,"A"&amp;1&amp;" — kontakt natychmiast",IF(C196&gt;=72,"A"&amp;2&amp;" — kontakt w 7 dni",IF(C196&gt;=58,"B — kampania regionalna",IF(C196&gt;=42,"C — weryfikacja i nurturing","D — niski priorytet/wykluczyć"))))</x:f>
        <x:v>C — weryfikacja i nurturing</x:v>
      </x:c>
      <x:c r="C196" s="88" t="n">
        <x:f>MAX(0,MIN(100,SUM(AB196:AG196)-AH196))</x:f>
        <x:v>56</x:v>
      </x:c>
      <x:c r="D196" s="62" t="str">
        <x:v>PPHU HITPOL / Zapalniczka.pl</x:v>
      </x:c>
      <x:c r="E196" s="62" t="str">
        <x:v>Potencjalny reseller / odbiorca hurtowy</x:v>
      </x:c>
      <x:c r="F196" s="62" t="str">
        <x:v>S3 — Akcesoria dla palaczy/headshop</x:v>
      </x:c>
      <x:c r="G196" s="62" t="str">
        <x:v>Hurt ogólnopolski</x:v>
      </x:c>
      <x:c r="H196" s="62" t="str">
        <x:v>Ogólnopolska</x:v>
      </x:c>
      <x:c r="I196" s="62" t="str">
        <x:v>Świlcza</x:v>
      </x:c>
      <x:c r="J196" s="62" t="str">
        <x:v>Średni</x:v>
      </x:c>
      <x:c r="K196" s="62" t="str">
        <x:v>max@zapalniczka.pl</x:v>
      </x:c>
      <x:c r="L196" s="62" t="str">
        <x:v>+48 17 856 08 04; +48 785 065 675</x:v>
      </x:c>
      <x:c r="M196" s="62" t="str"/>
      <x:c r="N196" s="62" t="str"/>
      <x:c r="O196" s="62" t="str">
        <x:v>https://www.zapalniczka.pl</x:v>
      </x:c>
      <x:c r="P196" s="62" t="str">
        <x:v>Świlcza 145F, 36-072 Świlcza</x:v>
      </x:c>
      <x:c r="Q196" s="62" t="str"/>
      <x:c r="R196" s="62" t="str"/>
      <x:c r="S196" s="62" t="str">
        <x:v>Zapalniczki | Zapalarki | Akcesoria dla palaczy | Akcesoria | Tytoń</x:v>
      </x:c>
      <x:c r="T196" s="62" t="str">
        <x:f>IF(AND(K196&lt;&gt;"",L196&lt;&gt;"",O196&lt;&gt;""),"Pełny",IF(OR(K196&lt;&gt;"",L196&lt;&gt;""),"Częściowy","Brak bezpośredniego kontaktu"))</x:f>
        <x:v>Pełny</x:v>
      </x:c>
      <x:c r="U196" s="62" t="str">
        <x:v>Nowy</x:v>
      </x:c>
      <x:c r="V196" s="62" t="str">
        <x:v>BILLS — hurt@bills.pl</x:v>
      </x:c>
      <x:c r="W196" s="62" t="str">
        <x:v>Zweryfikować dane, produkty i status B2B przed kontaktem</x:v>
      </x:c>
      <x:c r="X196" s="81" t="str">
        <x:f>IF(C196&gt;=82,'Model scoringu'!$B$4,IF(C196&gt;=72,'Model scoringu'!$B$5,IF(C196&gt;=58,'Model scoringu'!$B$6,"")))</x:f>
      </x:c>
      <x:c r="Y196" s="62" t="str">
        <x:v>Sprzedaż komplementarnych akcesoriów dla palaczy; zasięg ponadregionalny.</x:v>
      </x:c>
      <x:c r="Z196" s="62" t="str">
        <x:v>https://www.zapalniczka.pl</x:v>
      </x:c>
      <x:c r="AA196" s="62" t="str">
        <x:v>Istniejący rekord został wzbogacony 2026-07-19. Firma deklaruje sprzedaż hurtową; importer akcesoriów i zapalniczek. | Status źródłowy: Zweryfikowany — aktywna strona</x:v>
      </x:c>
      <x:c r="AB196" s="50" t="n">
        <x:v>18</x:v>
      </x:c>
      <x:c r="AC196" s="50" t="n">
        <x:v>18</x:v>
      </x:c>
      <x:c r="AD196" s="50" t="n">
        <x:v>15</x:v>
      </x:c>
      <x:c r="AE196" s="50" t="n">
        <x:v>15</x:v>
      </x:c>
      <x:c r="AF196" s="50" t="n">
        <x:v>10</x:v>
      </x:c>
      <x:c r="AG196" s="50" t="n">
        <x:v>10</x:v>
      </x:c>
      <x:c r="AH196" s="57" t="n">
        <x:v>30</x:v>
      </x:c>
    </x:row>
    <x:row r="197" ht="34" customHeight="1">
      <x:c r="A197" s="87" t="n">
        <x:v>195</x:v>
      </x:c>
      <x:c r="B197" s="88" t="str">
        <x:f>IF(C197&gt;=82,"A"&amp;1&amp;" — kontakt natychmiast",IF(C197&gt;=72,"A"&amp;2&amp;" — kontakt w 7 dni",IF(C197&gt;=58,"B — kampania regionalna",IF(C197&gt;=42,"C — weryfikacja i nurturing","D — niski priorytet/wykluczyć"))))</x:f>
        <x:v>C — weryfikacja i nurturing</x:v>
      </x:c>
      <x:c r="C197" s="88" t="n">
        <x:f>MAX(0,MIN(100,SUM(AB197:AG197)-AH197))</x:f>
        <x:v>55</x:v>
      </x:c>
      <x:c r="D197" s="62" t="str">
        <x:v>VAPE POINT Sp. z o.o.</x:v>
      </x:c>
      <x:c r="E197" s="62" t="str">
        <x:v>Partner cross-sell / kanał sąsiedni</x:v>
      </x:c>
      <x:c r="F197" s="62" t="str">
        <x:v>S4 — Vape/e-papierosy</x:v>
      </x:c>
      <x:c r="G197" s="62" t="str">
        <x:v>Detal/e-commerce</x:v>
      </x:c>
      <x:c r="H197" s="62" t="str">
        <x:v>Dolnośląskie</x:v>
      </x:c>
      <x:c r="I197" s="62" t="str">
        <x:v>Wrocław</x:v>
      </x:c>
      <x:c r="J197" s="62" t="str">
        <x:v>Nieustalona</x:v>
      </x:c>
      <x:c r="K197" s="62" t="str">
        <x:v>kontakt@vapepoint.pl</x:v>
      </x:c>
      <x:c r="L197" s="62" t="str">
        <x:v>+48 729 411 684</x:v>
      </x:c>
      <x:c r="M197" s="62" t="str"/>
      <x:c r="N197" s="62" t="str"/>
      <x:c r="O197" s="62" t="str">
        <x:v>https://vapepoint.pl</x:v>
      </x:c>
      <x:c r="P197" s="62" t="str">
        <x:v>ul. Powstańców Śląskich 95, 53-332 Wrocław</x:v>
      </x:c>
      <x:c r="Q197" s="62" t="str"/>
      <x:c r="R197" s="62" t="str"/>
      <x:c r="S197" s="62" t="str"/>
      <x:c r="T197" s="62" t="str">
        <x:f>IF(AND(K197&lt;&gt;"",L197&lt;&gt;"",O197&lt;&gt;""),"Pełny",IF(OR(K197&lt;&gt;"",L197&lt;&gt;""),"Częściowy","Brak bezpośredniego kontaktu"))</x:f>
        <x:v>Pełny</x:v>
      </x:c>
      <x:c r="U197" s="62" t="str">
        <x:v>Nowy</x:v>
      </x:c>
      <x:c r="V197" s="62" t="str">
        <x:v>BILLS — hurt@bills.pl</x:v>
      </x:c>
      <x:c r="W197" s="62" t="str">
        <x:v>Zweryfikować dane, produkty i status B2B przed kontaktem</x:v>
      </x:c>
      <x:c r="X197" s="81" t="str">
        <x:f>IF(C197&gt;=82,'Model scoringu'!$B$4,IF(C197&gt;=72,'Model scoringu'!$B$5,IF(C197&gt;=58,'Model scoringu'!$B$6,"")))</x:f>
      </x:c>
      <x:c r="Y197" s="62" t="str">
        <x:v>Kanał sąsiedni z bazą klientów zainteresowanych produktami nikotynowymi.</x:v>
      </x:c>
      <x:c r="Z197" s="62" t="str">
        <x:v>https://vapepoint.pl</x:v>
      </x:c>
      <x:c r="AA197" s="62" t="str"/>
      <x:c r="AB197" s="50" t="n">
        <x:v>11</x:v>
      </x:c>
      <x:c r="AC197" s="50" t="n">
        <x:v>7</x:v>
      </x:c>
      <x:c r="AD197" s="50" t="n">
        <x:v>7</x:v>
      </x:c>
      <x:c r="AE197" s="50" t="n">
        <x:v>15</x:v>
      </x:c>
      <x:c r="AF197" s="50" t="n">
        <x:v>10</x:v>
      </x:c>
      <x:c r="AG197" s="50" t="n">
        <x:v>5</x:v>
      </x:c>
      <x:c r="AH197" s="57" t="n">
        <x:v>0</x:v>
      </x:c>
    </x:row>
    <x:row r="198" ht="34" customHeight="1">
      <x:c r="A198" s="87" t="n">
        <x:v>196</x:v>
      </x:c>
      <x:c r="B198" s="88" t="str">
        <x:f>IF(C198&gt;=82,"A"&amp;1&amp;" — kontakt natychmiast",IF(C198&gt;=72,"A"&amp;2&amp;" — kontakt w 7 dni",IF(C198&gt;=58,"B — kampania regionalna",IF(C198&gt;=42,"C — weryfikacja i nurturing","D — niski priorytet/wykluczyć"))))</x:f>
        <x:v>C — weryfikacja i nurturing</x:v>
      </x:c>
      <x:c r="C198" s="88" t="n">
        <x:f>MAX(0,MIN(100,SUM(AB198:AG198)-AH198))</x:f>
        <x:v>55</x:v>
      </x:c>
      <x:c r="D198" s="62" t="str">
        <x:v>AlkoNaWesele.pl</x:v>
      </x:c>
      <x:c r="E198" s="62" t="str">
        <x:v>Do weryfikacji</x:v>
      </x:c>
      <x:c r="F198" s="62" t="str">
        <x:v>S7 — Pozostałe/niezweryfikowane</x:v>
      </x:c>
      <x:c r="G198" s="62" t="str">
        <x:v>Hurt B2B regionalny</x:v>
      </x:c>
      <x:c r="H198" s="62" t="str">
        <x:v>Mazowieckie</x:v>
      </x:c>
      <x:c r="I198" s="62" t="str">
        <x:v>Warszawa</x:v>
      </x:c>
      <x:c r="J198" s="62" t="str">
        <x:v>Średnia</x:v>
      </x:c>
      <x:c r="K198" s="62" t="str">
        <x:v>info@alkonawesele.pl</x:v>
      </x:c>
      <x:c r="L198" s="62" t="str">
        <x:v>729919919</x:v>
      </x:c>
      <x:c r="M198" s="62" t="str"/>
      <x:c r="N198" s="62" t="str"/>
      <x:c r="O198" s="62" t="str">
        <x:v>alkonawesele.pl</x:v>
      </x:c>
      <x:c r="P198" s="62" t="str"/>
      <x:c r="Q198" s="62" t="str"/>
      <x:c r="R198" s="62" t="str"/>
      <x:c r="S198" s="62" t="str">
        <x:v>Wódka | Wino | Szampan | Whisky | Piwo | Napoje Bezalkoholowe | Inne Alkohole (Rum | Gin | Likiery | Koniak | Tequila | Aperol | Wermuty) | Upominki I Akcesoria | Personalizowane Etykiety | Pakiety Weselne | Amundsen | Białe Bocio | Ostoya | Chopin | Adam Mickiewicz | Stock Prestige | J.A. Baczewski | Wyborowa | Absolut | Stumbras | Martini | Sierra | Jim Beam | Jack Daniel's | Moet &amp; Chandon | Bacardi | Aperol | Jägermeister | Kahlua | Seagram's | Lubuski | Corona | Heineken | Żywiec | Tyskie | Somersby | Mionetto | Montaudon | Portada | Bonetti | Nampe | Castillo | Vigneti | Socialite | Juan de Juanes | Czarna Olcha | Beluga | Bohema | Pan Tadeusz | Finlandia | De Kuyper | Chivas Regal | Auchentoshan | Hurtownia</x:v>
      </x:c>
      <x:c r="T198" s="62" t="str">
        <x:f>IF(AND(K198&lt;&gt;"",L198&lt;&gt;"",O198&lt;&gt;""),"Pełny",IF(OR(K198&lt;&gt;"",L198&lt;&gt;""),"Częściowy","Brak bezpośredniego kontaktu"))</x:f>
        <x:v>Pełny</x:v>
      </x:c>
      <x:c r="U198" s="62" t="str">
        <x:v>Nowy</x:v>
      </x:c>
      <x:c r="V198" s="62" t="str">
        <x:v>BILLS — hurt@bills.pl</x:v>
      </x:c>
      <x:c r="W198" s="62" t="str">
        <x:v>Zweryfikować dane, produkty i status B2B przed kontaktem</x:v>
      </x:c>
      <x:c r="X198" s="81" t="str">
        <x:f>IF(C198&gt;=82,'Model scoringu'!$B$4,IF(C198&gt;=72,'Model scoringu'!$B$5,IF(C198&gt;=58,'Model scoringu'!$B$6,"")))</x:f>
      </x:c>
      <x:c r="Y198" s="62" t="str">
        <x:v>.</x:v>
      </x:c>
      <x:c r="Z198" s="62" t="str">
        <x:v>alkonawesele.pl</x:v>
      </x:c>
      <x:c r="AA198" s="62" t="str">
        <x:v>Model: Hurtownia. Asortyment: Specjalistyczna hurtownia alkoholi weselnych oferująca wódki, wina, szampany, whisky, piwa, napoje bezalkoholowe, duże pojemności, personalizowane etykiety oraz gotowe pakiety na weselne bary i imprezy. Dystrybucja krajowa, darmowa dostawa przy zamówieniu min. 30 win lub pakietu win.. | Status źródłowy: Aktywny</x:v>
      </x:c>
      <x:c r="AB198" s="50" t="n">
        <x:v>4</x:v>
      </x:c>
      <x:c r="AC198" s="50" t="n">
        <x:v>15</x:v>
      </x:c>
      <x:c r="AD198" s="50" t="n">
        <x:v>11</x:v>
      </x:c>
      <x:c r="AE198" s="50" t="n">
        <x:v>13</x:v>
      </x:c>
      <x:c r="AF198" s="50" t="n">
        <x:v>10</x:v>
      </x:c>
      <x:c r="AG198" s="50" t="n">
        <x:v>7</x:v>
      </x:c>
      <x:c r="AH198" s="57" t="n">
        <x:v>5</x:v>
      </x:c>
    </x:row>
    <x:row r="199" ht="34" customHeight="1">
      <x:c r="A199" s="87" t="n">
        <x:v>197</x:v>
      </x:c>
      <x:c r="B199" s="88" t="str">
        <x:f>IF(C199&gt;=82,"A"&amp;1&amp;" — kontakt natychmiast",IF(C199&gt;=72,"A"&amp;2&amp;" — kontakt w 7 dni",IF(C199&gt;=58,"B — kampania regionalna",IF(C199&gt;=42,"C — weryfikacja i nurturing","D — niski priorytet/wykluczyć"))))</x:f>
        <x:v>C — weryfikacja i nurturing</x:v>
      </x:c>
      <x:c r="C199" s="88" t="n">
        <x:f>MAX(0,MIN(100,SUM(AB199:AG199)-AH199))</x:f>
        <x:v>55</x:v>
      </x:c>
      <x:c r="D199" s="62" t="str">
        <x:v>Królestwo Tytoniu</x:v>
      </x:c>
      <x:c r="E199" s="62" t="str">
        <x:v>Potencjalny reseller / odbiorca hurtowy</x:v>
      </x:c>
      <x:c r="F199" s="62" t="str">
        <x:v>S3 — Akcesoria dla palaczy/headshop</x:v>
      </x:c>
      <x:c r="G199" s="62" t="str">
        <x:v>Detal/e-commerce</x:v>
      </x:c>
      <x:c r="H199" s="62" t="str">
        <x:v>Małopolskie</x:v>
      </x:c>
      <x:c r="I199" s="62" t="str">
        <x:v>Kraków</x:v>
      </x:c>
      <x:c r="J199" s="62" t="str">
        <x:v>Średni</x:v>
      </x:c>
      <x:c r="K199" s="62" t="str"/>
      <x:c r="L199" s="62" t="str">
        <x:v>888 370 999</x:v>
      </x:c>
      <x:c r="M199" s="62" t="str"/>
      <x:c r="N199" s="62" t="str"/>
      <x:c r="O199" s="62" t="str">
        <x:v>https://krolestwotytoniu.pl</x:v>
      </x:c>
      <x:c r="P199" s="62" t="str">
        <x:v>Poland</x:v>
      </x:c>
      <x:c r="Q199" s="62" t="str"/>
      <x:c r="R199" s="62" t="str"/>
      <x:c r="S199" s="62" t="str">
        <x:v>Akcesoria Tytoniowe | Tytoń | Akcesoria tytoniowe</x:v>
      </x:c>
      <x:c r="T199" s="62" t="str">
        <x:f>IF(AND(K199&lt;&gt;"",L199&lt;&gt;"",O199&lt;&gt;""),"Pełny",IF(OR(K199&lt;&gt;"",L199&lt;&gt;""),"Częściowy","Brak bezpośredniego kontaktu"))</x:f>
        <x:v>Częściowy</x:v>
      </x:c>
      <x:c r="U199" s="62" t="str">
        <x:v>Nowy</x:v>
      </x:c>
      <x:c r="V199" s="62" t="str">
        <x:v>BILLS — hurt@bills.pl</x:v>
      </x:c>
      <x:c r="W199" s="62" t="str">
        <x:v>Zweryfikować dane, produkty i status B2B przed kontaktem</x:v>
      </x:c>
      <x:c r="X199" s="81" t="str">
        <x:f>IF(C199&gt;=82,'Model scoringu'!$B$4,IF(C199&gt;=72,'Model scoringu'!$B$5,IF(C199&gt;=58,'Model scoringu'!$B$6,"")))</x:f>
      </x:c>
      <x:c r="Y199" s="62" t="str">
        <x:v>Sprzedaż komplementarnych akcesoriów dla palaczy.</x:v>
      </x:c>
      <x:c r="Z199" s="62" t="str">
        <x:v>https://krolestwotytoniu.pl</x:v>
      </x:c>
      <x:c r="AA199" s="62" t="str">
        <x:v>Nie potwierdzone | Status źródłowy: Aktywny</x:v>
      </x:c>
      <x:c r="AB199" s="50" t="n">
        <x:v>18</x:v>
      </x:c>
      <x:c r="AC199" s="50" t="n">
        <x:v>7</x:v>
      </x:c>
      <x:c r="AD199" s="50" t="n">
        <x:v>11</x:v>
      </x:c>
      <x:c r="AE199" s="50" t="n">
        <x:v>9</x:v>
      </x:c>
      <x:c r="AF199" s="50" t="n">
        <x:v>3</x:v>
      </x:c>
      <x:c r="AG199" s="50" t="n">
        <x:v>7</x:v>
      </x:c>
      <x:c r="AH199" s="57" t="n">
        <x:v>0</x:v>
      </x:c>
    </x:row>
    <x:row r="200" ht="34" customHeight="1">
      <x:c r="A200" s="87" t="n">
        <x:v>198</x:v>
      </x:c>
      <x:c r="B200" s="88" t="str">
        <x:f>IF(C200&gt;=82,"A"&amp;1&amp;" — kontakt natychmiast",IF(C200&gt;=72,"A"&amp;2&amp;" — kontakt w 7 dni",IF(C200&gt;=58,"B — kampania regionalna",IF(C200&gt;=42,"C — weryfikacja i nurturing","D — niski priorytet/wykluczyć"))))</x:f>
        <x:v>C — weryfikacja i nurturing</x:v>
      </x:c>
      <x:c r="C200" s="88" t="n">
        <x:f>MAX(0,MIN(100,SUM(AB200:AG200)-AH200))</x:f>
        <x:v>54</x:v>
      </x:c>
      <x:c r="D200" s="62" t="str">
        <x:v>Viva S.j. — Hurtownia Papierosów</x:v>
      </x:c>
      <x:c r="E200" s="62" t="str">
        <x:v>Partner cross-sell / kanał sąsiedni</x:v>
      </x:c>
      <x:c r="F200" s="62" t="str">
        <x:v>S4 — Vape/e-papierosy</x:v>
      </x:c>
      <x:c r="G200" s="62" t="str">
        <x:v>Hurt B2B regionalny</x:v>
      </x:c>
      <x:c r="H200" s="62" t="str">
        <x:v>Świętokrzyskie</x:v>
      </x:c>
      <x:c r="I200" s="62" t="str">
        <x:v>Ostrowiec Świętokrzyski</x:v>
      </x:c>
      <x:c r="J200" s="62" t="str">
        <x:v>Średni</x:v>
      </x:c>
      <x:c r="K200" s="62" t="str"/>
      <x:c r="L200" s="62" t="str"/>
      <x:c r="M200" s="62" t="str"/>
      <x:c r="N200" s="62" t="str"/>
      <x:c r="O200" s="62" t="str">
        <x:v>https://www.cylex-polska.pl/firmy/viva--s-j--hurtownia-papieros%C3%B3w-10504502.html</x:v>
      </x:c>
      <x:c r="P200" s="62" t="str">
        <x:v>Ostrowiec Świętokrzyski, Polska</x:v>
      </x:c>
      <x:c r="Q200" s="62" t="str"/>
      <x:c r="R200" s="62" t="str"/>
      <x:c r="S200" s="62" t="str">
        <x:v>Papierosy | Tytoń | Akcesoria | Tytoń | Vape</x:v>
      </x:c>
      <x:c r="T200" s="62" t="str">
        <x:f>IF(AND(K200&lt;&gt;"",L200&lt;&gt;"",O200&lt;&gt;""),"Pełny",IF(OR(K200&lt;&gt;"",L200&lt;&gt;""),"Częściowy","Brak bezpośredniego kontaktu"))</x:f>
        <x:v>Brak bezpośredniego kontaktu</x:v>
      </x:c>
      <x:c r="U200" s="62" t="str">
        <x:v>Nowy</x:v>
      </x:c>
      <x:c r="V200" s="62" t="str">
        <x:v>BILLS — hurt@bills.pl</x:v>
      </x:c>
      <x:c r="W200" s="62" t="str">
        <x:v>Zweryfikować dane, produkty i status B2B przed kontaktem</x:v>
      </x:c>
      <x:c r="X200" s="81" t="str">
        <x:f>IF(C200&gt;=82,'Model scoringu'!$B$4,IF(C200&gt;=72,'Model scoringu'!$B$5,IF(C200&gt;=58,'Model scoringu'!$B$6,"")))</x:f>
      </x:c>
      <x:c r="Y200" s="62" t="str">
        <x:v>Kanał sąsiedni z bazą klientów zainteresowanych produktami nikotynowymi.</x:v>
      </x:c>
      <x:c r="Z200" s="62" t="str">
        <x:v>https://www.cylex-polska.pl/firmy/viva--s-j--hurtownia-papieros%C3%B3w-10504502.html</x:v>
      </x:c>
      <x:c r="AA200" s="62" t="str">
        <x:v>Dodano z hurtownicy_pl_127.html; Asortyment: Cigarettes, tobacco | Status źródłowy: Aktywny</x:v>
      </x:c>
      <x:c r="AB200" s="50" t="n">
        <x:v>11</x:v>
      </x:c>
      <x:c r="AC200" s="50" t="n">
        <x:v>15</x:v>
      </x:c>
      <x:c r="AD200" s="50" t="n">
        <x:v>11</x:v>
      </x:c>
      <x:c r="AE200" s="50" t="n">
        <x:v>5</x:v>
      </x:c>
      <x:c r="AF200" s="50" t="n">
        <x:v>10</x:v>
      </x:c>
      <x:c r="AG200" s="50" t="n">
        <x:v>7</x:v>
      </x:c>
      <x:c r="AH200" s="57" t="n">
        <x:v>5</x:v>
      </x:c>
    </x:row>
    <x:row r="201" ht="34" customHeight="1">
      <x:c r="A201" s="87" t="n">
        <x:v>199</x:v>
      </x:c>
      <x:c r="B201" s="88" t="str">
        <x:f>IF(C201&gt;=82,"A"&amp;1&amp;" — kontakt natychmiast",IF(C201&gt;=72,"A"&amp;2&amp;" — kontakt w 7 dni",IF(C201&gt;=58,"B — kampania regionalna",IF(C201&gt;=42,"C — weryfikacja i nurturing","D — niski priorytet/wykluczyć"))))</x:f>
        <x:v>C — weryfikacja i nurturing</x:v>
      </x:c>
      <x:c r="C201" s="88" t="n">
        <x:f>MAX(0,MIN(100,SUM(AB201:AG201)-AH201))</x:f>
        <x:v>54</x:v>
      </x:c>
      <x:c r="D201" s="62" t="str">
        <x:v>Smok Hurtownia Papierosów</x:v>
      </x:c>
      <x:c r="E201" s="62" t="str">
        <x:v>Partner cross-sell / kanał sąsiedni</x:v>
      </x:c>
      <x:c r="F201" s="62" t="str">
        <x:v>S4 — Vape/e-papierosy</x:v>
      </x:c>
      <x:c r="G201" s="62" t="str">
        <x:v>Hurt B2B regionalny</x:v>
      </x:c>
      <x:c r="H201" s="62" t="str">
        <x:v>Mazowieckie</x:v>
      </x:c>
      <x:c r="I201" s="62" t="str">
        <x:v>Zielonka</x:v>
      </x:c>
      <x:c r="J201" s="62" t="str">
        <x:v>Średni</x:v>
      </x:c>
      <x:c r="K201" s="62" t="str"/>
      <x:c r="L201" s="62" t="str"/>
      <x:c r="M201" s="62" t="str"/>
      <x:c r="N201" s="62" t="str"/>
      <x:c r="O201" s="62" t="str">
        <x:v>https://mapa.targeo.pl/smok-hurtownia-papierosow-armii-krajowej-32-05-220-zielonka~5523255/przedsiebiorstwo-firma/adres</x:v>
      </x:c>
      <x:c r="P201" s="62" t="str">
        <x:v>Zielonka, Polska</x:v>
      </x:c>
      <x:c r="Q201" s="62" t="str"/>
      <x:c r="R201" s="62" t="str"/>
      <x:c r="S201" s="62" t="str">
        <x:v>Papierosy | Tytoń | Akcesoria | Tytoń | Vape</x:v>
      </x:c>
      <x:c r="T201" s="62" t="str">
        <x:f>IF(AND(K201&lt;&gt;"",L201&lt;&gt;"",O201&lt;&gt;""),"Pełny",IF(OR(K201&lt;&gt;"",L201&lt;&gt;""),"Częściowy","Brak bezpośredniego kontaktu"))</x:f>
        <x:v>Brak bezpośredniego kontaktu</x:v>
      </x:c>
      <x:c r="U201" s="62" t="str">
        <x:v>Nowy</x:v>
      </x:c>
      <x:c r="V201" s="62" t="str">
        <x:v>BILLS — hurt@bills.pl</x:v>
      </x:c>
      <x:c r="W201" s="62" t="str">
        <x:v>Zweryfikować dane, produkty i status B2B przed kontaktem</x:v>
      </x:c>
      <x:c r="X201" s="81" t="str">
        <x:f>IF(C201&gt;=82,'Model scoringu'!$B$4,IF(C201&gt;=72,'Model scoringu'!$B$5,IF(C201&gt;=58,'Model scoringu'!$B$6,"")))</x:f>
      </x:c>
      <x:c r="Y201" s="62" t="str">
        <x:v>Kanał sąsiedni z bazą klientów zainteresowanych produktami nikotynowymi.</x:v>
      </x:c>
      <x:c r="Z201" s="62" t="str">
        <x:v>https://mapa.targeo.pl/smok-hurtownia-papierosow-armii-krajowej-32-05-220-zielonka~5523255/przedsiebiorstwo-firma/adres</x:v>
      </x:c>
      <x:c r="AA201" s="62" t="str">
        <x:v>Dodano z hurtownicy_pl_127.html; Asortyment: Cigarettes, tobacco | Status źródłowy: Aktywny</x:v>
      </x:c>
      <x:c r="AB201" s="50" t="n">
        <x:v>11</x:v>
      </x:c>
      <x:c r="AC201" s="50" t="n">
        <x:v>15</x:v>
      </x:c>
      <x:c r="AD201" s="50" t="n">
        <x:v>11</x:v>
      </x:c>
      <x:c r="AE201" s="50" t="n">
        <x:v>5</x:v>
      </x:c>
      <x:c r="AF201" s="50" t="n">
        <x:v>10</x:v>
      </x:c>
      <x:c r="AG201" s="50" t="n">
        <x:v>7</x:v>
      </x:c>
      <x:c r="AH201" s="57" t="n">
        <x:v>5</x:v>
      </x:c>
    </x:row>
    <x:row r="202" ht="34" customHeight="1">
      <x:c r="A202" s="87" t="n">
        <x:v>200</x:v>
      </x:c>
      <x:c r="B202" s="88" t="str">
        <x:f>IF(C202&gt;=82,"A"&amp;1&amp;" — kontakt natychmiast",IF(C202&gt;=72,"A"&amp;2&amp;" — kontakt w 7 dni",IF(C202&gt;=58,"B — kampania regionalna",IF(C202&gt;=42,"C — weryfikacja i nurturing","D — niski priorytet/wykluczyć"))))</x:f>
        <x:v>C — weryfikacja i nurturing</x:v>
      </x:c>
      <x:c r="C202" s="88" t="n">
        <x:f>MAX(0,MIN(100,SUM(AB202:AG202)-AH202))</x:f>
        <x:v>54</x:v>
      </x:c>
      <x:c r="D202" s="62" t="str">
        <x:v>PAKO FW H. Komorowska i J. Komorowski</x:v>
      </x:c>
      <x:c r="E202" s="62" t="str">
        <x:v>Partner cross-sell / kanał sąsiedni</x:v>
      </x:c>
      <x:c r="F202" s="62" t="str">
        <x:v>S4 — Vape/e-papierosy</x:v>
      </x:c>
      <x:c r="G202" s="62" t="str">
        <x:v>Hurt B2B regionalny</x:v>
      </x:c>
      <x:c r="H202" s="62" t="str">
        <x:v>Opolskie</x:v>
      </x:c>
      <x:c r="I202" s="62" t="str">
        <x:v>Koło</x:v>
      </x:c>
      <x:c r="J202" s="62" t="str">
        <x:v>Średni</x:v>
      </x:c>
      <x:c r="K202" s="62" t="str"/>
      <x:c r="L202" s="62" t="str"/>
      <x:c r="M202" s="62" t="str"/>
      <x:c r="N202" s="62" t="str"/>
      <x:c r="O202" s="62" t="str">
        <x:v>https://www.hurtownie.pl/hurtownie,.html?q=papierosy\&amp;p=15</x:v>
      </x:c>
      <x:c r="P202" s="62" t="str">
        <x:v>Koło, Polska</x:v>
      </x:c>
      <x:c r="Q202" s="62" t="str"/>
      <x:c r="R202" s="62" t="str"/>
      <x:c r="S202" s="62" t="str">
        <x:v>Tytoń | Akcesoria | Tytoń | Vape</x:v>
      </x:c>
      <x:c r="T202" s="62" t="str">
        <x:f>IF(AND(K202&lt;&gt;"",L202&lt;&gt;"",O202&lt;&gt;""),"Pełny",IF(OR(K202&lt;&gt;"",L202&lt;&gt;""),"Częściowy","Brak bezpośredniego kontaktu"))</x:f>
        <x:v>Brak bezpośredniego kontaktu</x:v>
      </x:c>
      <x:c r="U202" s="62" t="str">
        <x:v>Nowy</x:v>
      </x:c>
      <x:c r="V202" s="62" t="str">
        <x:v>BILLS — hurt@bills.pl</x:v>
      </x:c>
      <x:c r="W202" s="62" t="str">
        <x:v>Zweryfikować dane, produkty i status B2B przed kontaktem</x:v>
      </x:c>
      <x:c r="X202" s="81" t="str">
        <x:f>IF(C202&gt;=82,'Model scoringu'!$B$4,IF(C202&gt;=72,'Model scoringu'!$B$5,IF(C202&gt;=58,'Model scoringu'!$B$6,"")))</x:f>
      </x:c>
      <x:c r="Y202" s="62" t="str">
        <x:v>Kanał sąsiedni z bazą klientów zainteresowanych produktami nikotynowymi.</x:v>
      </x:c>
      <x:c r="Z202" s="62" t="str">
        <x:v>https://www.hurtownie.pl/hurtownie,.html?q=papierosy\&amp;p=15</x:v>
      </x:c>
      <x:c r="AA202" s="62" t="str">
        <x:v>Dodano z hurtownicy_pl_127.html; Asortyment: Tobacco products | Status źródłowy: Aktywny</x:v>
      </x:c>
      <x:c r="AB202" s="50" t="n">
        <x:v>11</x:v>
      </x:c>
      <x:c r="AC202" s="50" t="n">
        <x:v>15</x:v>
      </x:c>
      <x:c r="AD202" s="50" t="n">
        <x:v>11</x:v>
      </x:c>
      <x:c r="AE202" s="50" t="n">
        <x:v>5</x:v>
      </x:c>
      <x:c r="AF202" s="50" t="n">
        <x:v>10</x:v>
      </x:c>
      <x:c r="AG202" s="50" t="n">
        <x:v>7</x:v>
      </x:c>
      <x:c r="AH202" s="57" t="n">
        <x:v>5</x:v>
      </x:c>
    </x:row>
    <x:row r="203" ht="34" customHeight="1">
      <x:c r="A203" s="87" t="n">
        <x:v>201</x:v>
      </x:c>
      <x:c r="B203" s="88" t="str">
        <x:f>IF(C203&gt;=82,"A"&amp;1&amp;" — kontakt natychmiast",IF(C203&gt;=72,"A"&amp;2&amp;" — kontakt w 7 dni",IF(C203&gt;=58,"B — kampania regionalna",IF(C203&gt;=42,"C — weryfikacja i nurturing","D — niski priorytet/wykluczyć"))))</x:f>
        <x:v>C — weryfikacja i nurturing</x:v>
      </x:c>
      <x:c r="C203" s="88" t="n">
        <x:f>MAX(0,MIN(100,SUM(AB203:AG203)-AH203))</x:f>
        <x:v>54</x:v>
      </x:c>
      <x:c r="D203" s="62" t="str">
        <x:v>Hurtownia Wielobranżowa ROCH Sp. z o.o. Sp.k.</x:v>
      </x:c>
      <x:c r="E203" s="62" t="str">
        <x:v>Partner cross-sell / kanał sąsiedni</x:v>
      </x:c>
      <x:c r="F203" s="62" t="str">
        <x:v>S4 — Vape/e-papierosy</x:v>
      </x:c>
      <x:c r="G203" s="62" t="str">
        <x:v>Hurt B2B regionalny</x:v>
      </x:c>
      <x:c r="H203" s="62" t="str">
        <x:v>Małopolskie</x:v>
      </x:c>
      <x:c r="I203" s="62" t="str">
        <x:v>Kraków</x:v>
      </x:c>
      <x:c r="J203" s="62" t="str">
        <x:v>Średni</x:v>
      </x:c>
      <x:c r="K203" s="62" t="str"/>
      <x:c r="L203" s="62" t="str"/>
      <x:c r="M203" s="62" t="str"/>
      <x:c r="N203" s="62" t="str"/>
      <x:c r="O203" s="62" t="str">
        <x:v>https://www.baza-firm.com.pl/tyton-i-artykuly-tytoniowe/krakow/hurtownia-wielobranzowa-roch-sp-z-oo-spkomandytowa/pl/210664.html</x:v>
      </x:c>
      <x:c r="P203" s="62" t="str">
        <x:v>Kraków, Polska</x:v>
      </x:c>
      <x:c r="Q203" s="62" t="str"/>
      <x:c r="R203" s="62" t="str"/>
      <x:c r="S203" s="62" t="str">
        <x:v>Papierosy | Tytoń | Akcesoria | Tytoń | Vape</x:v>
      </x:c>
      <x:c r="T203" s="62" t="str">
        <x:f>IF(AND(K203&lt;&gt;"",L203&lt;&gt;"",O203&lt;&gt;""),"Pełny",IF(OR(K203&lt;&gt;"",L203&lt;&gt;""),"Częściowy","Brak bezpośredniego kontaktu"))</x:f>
        <x:v>Brak bezpośredniego kontaktu</x:v>
      </x:c>
      <x:c r="U203" s="62" t="str">
        <x:v>Nowy</x:v>
      </x:c>
      <x:c r="V203" s="62" t="str">
        <x:v>BILLS — hurt@bills.pl</x:v>
      </x:c>
      <x:c r="W203" s="62" t="str">
        <x:v>Zweryfikować dane, produkty i status B2B przed kontaktem</x:v>
      </x:c>
      <x:c r="X203" s="81" t="str">
        <x:f>IF(C203&gt;=82,'Model scoringu'!$B$4,IF(C203&gt;=72,'Model scoringu'!$B$5,IF(C203&gt;=58,'Model scoringu'!$B$6,"")))</x:f>
      </x:c>
      <x:c r="Y203" s="62" t="str">
        <x:v>Kanał sąsiedni z bazą klientów zainteresowanych produktami nikotynowymi.</x:v>
      </x:c>
      <x:c r="Z203" s="62" t="str">
        <x:v>https://www.baza-firm.com.pl/tyton-i-artykuly-tytoniowe/krakow/hurtownia-wielobranzowa-roch-sp-z-oo-spkomandytowa/pl/210664.html</x:v>
      </x:c>
      <x:c r="AA203" s="62" t="str">
        <x:v>Dodano z hurtownicy_pl_127.html; Asortyment: Cigarettes, tobacco | Status źródłowy: Aktywny</x:v>
      </x:c>
      <x:c r="AB203" s="50" t="n">
        <x:v>11</x:v>
      </x:c>
      <x:c r="AC203" s="50" t="n">
        <x:v>15</x:v>
      </x:c>
      <x:c r="AD203" s="50" t="n">
        <x:v>11</x:v>
      </x:c>
      <x:c r="AE203" s="50" t="n">
        <x:v>5</x:v>
      </x:c>
      <x:c r="AF203" s="50" t="n">
        <x:v>10</x:v>
      </x:c>
      <x:c r="AG203" s="50" t="n">
        <x:v>7</x:v>
      </x:c>
      <x:c r="AH203" s="57" t="n">
        <x:v>5</x:v>
      </x:c>
    </x:row>
    <x:row r="204" ht="34" customHeight="1">
      <x:c r="A204" s="87" t="n">
        <x:v>202</x:v>
      </x:c>
      <x:c r="B204" s="88" t="str">
        <x:f>IF(C204&gt;=82,"A"&amp;1&amp;" — kontakt natychmiast",IF(C204&gt;=72,"A"&amp;2&amp;" — kontakt w 7 dni",IF(C204&gt;=58,"B — kampania regionalna",IF(C204&gt;=42,"C — weryfikacja i nurturing","D — niski priorytet/wykluczyć"))))</x:f>
        <x:v>C — weryfikacja i nurturing</x:v>
      </x:c>
      <x:c r="C204" s="88" t="n">
        <x:f>MAX(0,MIN(100,SUM(AB204:AG204)-AH204))</x:f>
        <x:v>54</x:v>
      </x:c>
      <x:c r="D204" s="62" t="str">
        <x:v>Hurtownia Papierosów Sklep Przemysłowy</x:v>
      </x:c>
      <x:c r="E204" s="62" t="str">
        <x:v>Partner cross-sell / kanał sąsiedni</x:v>
      </x:c>
      <x:c r="F204" s="62" t="str">
        <x:v>S4 — Vape/e-papierosy</x:v>
      </x:c>
      <x:c r="G204" s="62" t="str">
        <x:v>Hurt B2B regionalny</x:v>
      </x:c>
      <x:c r="H204" s="62" t="str">
        <x:v>Pomorskie</x:v>
      </x:c>
      <x:c r="I204" s="62" t="str">
        <x:v>Starogard Gdański</x:v>
      </x:c>
      <x:c r="J204" s="62" t="str">
        <x:v>Średni</x:v>
      </x:c>
      <x:c r="K204" s="62" t="str"/>
      <x:c r="L204" s="62" t="str"/>
      <x:c r="M204" s="62" t="str"/>
      <x:c r="N204" s="62" t="str"/>
      <x:c r="O204" s="62" t="str">
        <x:v>https://mapa.targeo.pl/hurtownia-papierosow-sklep-przemyslowy-83-200-starogard-gdanski~13569129/przedsiebiorstwo-firma/adres</x:v>
      </x:c>
      <x:c r="P204" s="62" t="str">
        <x:v>Starogard Gdański, Polska</x:v>
      </x:c>
      <x:c r="Q204" s="62" t="str"/>
      <x:c r="R204" s="62" t="str"/>
      <x:c r="S204" s="62" t="str">
        <x:v>Papierosy | Tytoń | Akcesoria | Tytoń | Vape</x:v>
      </x:c>
      <x:c r="T204" s="62" t="str">
        <x:f>IF(AND(K204&lt;&gt;"",L204&lt;&gt;"",O204&lt;&gt;""),"Pełny",IF(OR(K204&lt;&gt;"",L204&lt;&gt;""),"Częściowy","Brak bezpośredniego kontaktu"))</x:f>
        <x:v>Brak bezpośredniego kontaktu</x:v>
      </x:c>
      <x:c r="U204" s="62" t="str">
        <x:v>Nowy</x:v>
      </x:c>
      <x:c r="V204" s="62" t="str">
        <x:v>BILLS — hurt@bills.pl</x:v>
      </x:c>
      <x:c r="W204" s="62" t="str">
        <x:v>Zweryfikować dane, produkty i status B2B przed kontaktem</x:v>
      </x:c>
      <x:c r="X204" s="81" t="str">
        <x:f>IF(C204&gt;=82,'Model scoringu'!$B$4,IF(C204&gt;=72,'Model scoringu'!$B$5,IF(C204&gt;=58,'Model scoringu'!$B$6,"")))</x:f>
      </x:c>
      <x:c r="Y204" s="62" t="str">
        <x:v>Kanał sąsiedni z bazą klientów zainteresowanych produktami nikotynowymi.</x:v>
      </x:c>
      <x:c r="Z204" s="62" t="str">
        <x:v>https://mapa.targeo.pl/hurtownia-papierosow-sklep-przemyslowy-83-200-starogard-gdanski~13569129/przedsiebiorstwo-firma/adres</x:v>
      </x:c>
      <x:c r="AA204" s="62" t="str">
        <x:v>Dodano z hurtownicy_pl_127.html; Asortyment: Cigarettes, tobacco | Status źródłowy: Aktywny</x:v>
      </x:c>
      <x:c r="AB204" s="50" t="n">
        <x:v>11</x:v>
      </x:c>
      <x:c r="AC204" s="50" t="n">
        <x:v>15</x:v>
      </x:c>
      <x:c r="AD204" s="50" t="n">
        <x:v>11</x:v>
      </x:c>
      <x:c r="AE204" s="50" t="n">
        <x:v>5</x:v>
      </x:c>
      <x:c r="AF204" s="50" t="n">
        <x:v>10</x:v>
      </x:c>
      <x:c r="AG204" s="50" t="n">
        <x:v>7</x:v>
      </x:c>
      <x:c r="AH204" s="57" t="n">
        <x:v>5</x:v>
      </x:c>
    </x:row>
    <x:row r="205" ht="34" customHeight="1">
      <x:c r="A205" s="87" t="n">
        <x:v>203</x:v>
      </x:c>
      <x:c r="B205" s="88" t="str">
        <x:f>IF(C205&gt;=82,"A"&amp;1&amp;" — kontakt natychmiast",IF(C205&gt;=72,"A"&amp;2&amp;" — kontakt w 7 dni",IF(C205&gt;=58,"B — kampania regionalna",IF(C205&gt;=42,"C — weryfikacja i nurturing","D — niski priorytet/wykluczyć"))))</x:f>
        <x:v>C — weryfikacja i nurturing</x:v>
      </x:c>
      <x:c r="C205" s="88" t="n">
        <x:f>MAX(0,MIN(100,SUM(AB205:AG205)-AH205))</x:f>
        <x:v>54</x:v>
      </x:c>
      <x:c r="D205" s="62" t="str">
        <x:v>Golden FHU Anna Bohusz</x:v>
      </x:c>
      <x:c r="E205" s="62" t="str">
        <x:v>Partner cross-sell / kanał sąsiedni</x:v>
      </x:c>
      <x:c r="F205" s="62" t="str">
        <x:v>S4 — Vape/e-papierosy</x:v>
      </x:c>
      <x:c r="G205" s="62" t="str">
        <x:v>Hurt B2B regionalny</x:v>
      </x:c>
      <x:c r="H205" s="62" t="str">
        <x:v>Opolskie</x:v>
      </x:c>
      <x:c r="I205" s="62" t="str">
        <x:v>Głubczyce</x:v>
      </x:c>
      <x:c r="J205" s="62" t="str">
        <x:v>Średni</x:v>
      </x:c>
      <x:c r="K205" s="62" t="str"/>
      <x:c r="L205" s="62" t="str"/>
      <x:c r="M205" s="62" t="str"/>
      <x:c r="N205" s="62" t="str"/>
      <x:c r="O205" s="62" t="str">
        <x:v>https://www.hurtownie.pl/hurtownie,.html?q=papierosy\&amp;p=8</x:v>
      </x:c>
      <x:c r="P205" s="62" t="str">
        <x:v>Głubczyce, Polska</x:v>
      </x:c>
      <x:c r="Q205" s="62" t="str"/>
      <x:c r="R205" s="62" t="str"/>
      <x:c r="S205" s="62" t="str">
        <x:v>Tytoń | Akcesoria | Tytoń | Vape</x:v>
      </x:c>
      <x:c r="T205" s="62" t="str">
        <x:f>IF(AND(K205&lt;&gt;"",L205&lt;&gt;"",O205&lt;&gt;""),"Pełny",IF(OR(K205&lt;&gt;"",L205&lt;&gt;""),"Częściowy","Brak bezpośredniego kontaktu"))</x:f>
        <x:v>Brak bezpośredniego kontaktu</x:v>
      </x:c>
      <x:c r="U205" s="62" t="str">
        <x:v>Nowy</x:v>
      </x:c>
      <x:c r="V205" s="62" t="str">
        <x:v>BILLS — hurt@bills.pl</x:v>
      </x:c>
      <x:c r="W205" s="62" t="str">
        <x:v>Zweryfikować dane, produkty i status B2B przed kontaktem</x:v>
      </x:c>
      <x:c r="X205" s="81" t="str">
        <x:f>IF(C205&gt;=82,'Model scoringu'!$B$4,IF(C205&gt;=72,'Model scoringu'!$B$5,IF(C205&gt;=58,'Model scoringu'!$B$6,"")))</x:f>
      </x:c>
      <x:c r="Y205" s="62" t="str">
        <x:v>Kanał sąsiedni z bazą klientów zainteresowanych produktami nikotynowymi.</x:v>
      </x:c>
      <x:c r="Z205" s="62" t="str">
        <x:v>https://www.hurtownie.pl/hurtownie,.html?q=papierosy\&amp;p=8</x:v>
      </x:c>
      <x:c r="AA205" s="62" t="str">
        <x:v>Dodano z hurtownicy_pl_127.html; Asortyment: Tobacco products | Status źródłowy: Aktywny</x:v>
      </x:c>
      <x:c r="AB205" s="50" t="n">
        <x:v>11</x:v>
      </x:c>
      <x:c r="AC205" s="50" t="n">
        <x:v>15</x:v>
      </x:c>
      <x:c r="AD205" s="50" t="n">
        <x:v>11</x:v>
      </x:c>
      <x:c r="AE205" s="50" t="n">
        <x:v>5</x:v>
      </x:c>
      <x:c r="AF205" s="50" t="n">
        <x:v>10</x:v>
      </x:c>
      <x:c r="AG205" s="50" t="n">
        <x:v>7</x:v>
      </x:c>
      <x:c r="AH205" s="57" t="n">
        <x:v>5</x:v>
      </x:c>
    </x:row>
    <x:row r="206" ht="34" customHeight="1">
      <x:c r="A206" s="87" t="n">
        <x:v>204</x:v>
      </x:c>
      <x:c r="B206" s="88" t="str">
        <x:f>IF(C206&gt;=82,"A"&amp;1&amp;" — kontakt natychmiast",IF(C206&gt;=72,"A"&amp;2&amp;" — kontakt w 7 dni",IF(C206&gt;=58,"B — kampania regionalna",IF(C206&gt;=42,"C — weryfikacja i nurturing","D — niski priorytet/wykluczyć"))))</x:f>
        <x:v>C — weryfikacja i nurturing</x:v>
      </x:c>
      <x:c r="C206" s="88" t="n">
        <x:f>MAX(0,MIN(100,SUM(AB206:AG206)-AH206))</x:f>
        <x:v>54</x:v>
      </x:c>
      <x:c r="D206" s="62" t="str">
        <x:v>EDMAR PH Hurtownia Papierosów</x:v>
      </x:c>
      <x:c r="E206" s="62" t="str">
        <x:v>Partner cross-sell / kanał sąsiedni</x:v>
      </x:c>
      <x:c r="F206" s="62" t="str">
        <x:v>S4 — Vape/e-papierosy</x:v>
      </x:c>
      <x:c r="G206" s="62" t="str">
        <x:v>Hurt B2B regionalny</x:v>
      </x:c>
      <x:c r="H206" s="62" t="str">
        <x:v>Opolskie</x:v>
      </x:c>
      <x:c r="I206" s="62" t="str">
        <x:v>Koło</x:v>
      </x:c>
      <x:c r="J206" s="62" t="str">
        <x:v>Średni</x:v>
      </x:c>
      <x:c r="K206" s="62" t="str"/>
      <x:c r="L206" s="62" t="str"/>
      <x:c r="M206" s="62" t="str"/>
      <x:c r="N206" s="62" t="str"/>
      <x:c r="O206" s="62" t="str">
        <x:v>https://www.hurtownie.pl/hurtownie,.html?q=papierosy\&amp;p=15</x:v>
      </x:c>
      <x:c r="P206" s="62" t="str">
        <x:v>Koło, Polska</x:v>
      </x:c>
      <x:c r="Q206" s="62" t="str"/>
      <x:c r="R206" s="62" t="str"/>
      <x:c r="S206" s="62" t="str">
        <x:v>Papierosy | Tytoń | Akcesoria | Tytoń | Vape</x:v>
      </x:c>
      <x:c r="T206" s="62" t="str">
        <x:f>IF(AND(K206&lt;&gt;"",L206&lt;&gt;"",O206&lt;&gt;""),"Pełny",IF(OR(K206&lt;&gt;"",L206&lt;&gt;""),"Częściowy","Brak bezpośredniego kontaktu"))</x:f>
        <x:v>Brak bezpośredniego kontaktu</x:v>
      </x:c>
      <x:c r="U206" s="62" t="str">
        <x:v>Nowy</x:v>
      </x:c>
      <x:c r="V206" s="62" t="str">
        <x:v>BILLS — hurt@bills.pl</x:v>
      </x:c>
      <x:c r="W206" s="62" t="str">
        <x:v>Zweryfikować dane, produkty i status B2B przed kontaktem</x:v>
      </x:c>
      <x:c r="X206" s="81" t="str">
        <x:f>IF(C206&gt;=82,'Model scoringu'!$B$4,IF(C206&gt;=72,'Model scoringu'!$B$5,IF(C206&gt;=58,'Model scoringu'!$B$6,"")))</x:f>
      </x:c>
      <x:c r="Y206" s="62" t="str">
        <x:v>Kanał sąsiedni z bazą klientów zainteresowanych produktami nikotynowymi.</x:v>
      </x:c>
      <x:c r="Z206" s="62" t="str">
        <x:v>https://www.hurtownie.pl/hurtownie,.html?q=papierosy\&amp;p=15</x:v>
      </x:c>
      <x:c r="AA206" s="62" t="str">
        <x:v>Dodano z hurtownicy_pl_127.html; Asortyment: Cigarettes, tobacco | Status źródłowy: Aktywny</x:v>
      </x:c>
      <x:c r="AB206" s="50" t="n">
        <x:v>11</x:v>
      </x:c>
      <x:c r="AC206" s="50" t="n">
        <x:v>15</x:v>
      </x:c>
      <x:c r="AD206" s="50" t="n">
        <x:v>11</x:v>
      </x:c>
      <x:c r="AE206" s="50" t="n">
        <x:v>5</x:v>
      </x:c>
      <x:c r="AF206" s="50" t="n">
        <x:v>10</x:v>
      </x:c>
      <x:c r="AG206" s="50" t="n">
        <x:v>7</x:v>
      </x:c>
      <x:c r="AH206" s="57" t="n">
        <x:v>5</x:v>
      </x:c>
    </x:row>
    <x:row r="207" ht="34" customHeight="1">
      <x:c r="A207" s="87" t="n">
        <x:v>205</x:v>
      </x:c>
      <x:c r="B207" s="88" t="str">
        <x:f>IF(C207&gt;=82,"A"&amp;1&amp;" — kontakt natychmiast",IF(C207&gt;=72,"A"&amp;2&amp;" — kontakt w 7 dni",IF(C207&gt;=58,"B — kampania regionalna",IF(C207&gt;=42,"C — weryfikacja i nurturing","D — niski priorytet/wykluczyć"))))</x:f>
        <x:v>C — weryfikacja i nurturing</x:v>
      </x:c>
      <x:c r="C207" s="88" t="n">
        <x:f>MAX(0,MIN(100,SUM(AB207:AG207)-AH207))</x:f>
        <x:v>54</x:v>
      </x:c>
      <x:c r="D207" s="62" t="str">
        <x:v>Dymek Krzysztof Kasperek</x:v>
      </x:c>
      <x:c r="E207" s="62" t="str">
        <x:v>Partner cross-sell / kanał sąsiedni</x:v>
      </x:c>
      <x:c r="F207" s="62" t="str">
        <x:v>S4 — Vape/e-papierosy</x:v>
      </x:c>
      <x:c r="G207" s="62" t="str">
        <x:v>Hurt B2B regionalny</x:v>
      </x:c>
      <x:c r="H207" s="62" t="str">
        <x:v>Lubelskie</x:v>
      </x:c>
      <x:c r="I207" s="62" t="str">
        <x:v>Lublin</x:v>
      </x:c>
      <x:c r="J207" s="62" t="str">
        <x:v>Średni</x:v>
      </x:c>
      <x:c r="K207" s="62" t="str"/>
      <x:c r="L207" s="62" t="str"/>
      <x:c r="M207" s="62" t="str"/>
      <x:c r="N207" s="62" t="str"/>
      <x:c r="O207" s="62" t="str">
        <x:v>https://panoramafirm.pl/papierosy_i_tyto%C5%84/lubelskie,,lublin</x:v>
      </x:c>
      <x:c r="P207" s="62" t="str">
        <x:v>Lublin, Polska</x:v>
      </x:c>
      <x:c r="Q207" s="62" t="str"/>
      <x:c r="R207" s="62" t="str"/>
      <x:c r="S207" s="62" t="str">
        <x:v>Tytoń | Akcesoria | Tytoń | Vape</x:v>
      </x:c>
      <x:c r="T207" s="62" t="str">
        <x:f>IF(AND(K207&lt;&gt;"",L207&lt;&gt;"",O207&lt;&gt;""),"Pełny",IF(OR(K207&lt;&gt;"",L207&lt;&gt;""),"Częściowy","Brak bezpośredniego kontaktu"))</x:f>
        <x:v>Brak bezpośredniego kontaktu</x:v>
      </x:c>
      <x:c r="U207" s="62" t="str">
        <x:v>Nowy</x:v>
      </x:c>
      <x:c r="V207" s="62" t="str">
        <x:v>BILLS — hurt@bills.pl</x:v>
      </x:c>
      <x:c r="W207" s="62" t="str">
        <x:v>Zweryfikować dane, produkty i status B2B przed kontaktem</x:v>
      </x:c>
      <x:c r="X207" s="81" t="str">
        <x:f>IF(C207&gt;=82,'Model scoringu'!$B$4,IF(C207&gt;=72,'Model scoringu'!$B$5,IF(C207&gt;=58,'Model scoringu'!$B$6,"")))</x:f>
      </x:c>
      <x:c r="Y207" s="62" t="str">
        <x:v>Kanał sąsiedni z bazą klientów zainteresowanych produktami nikotynowymi.</x:v>
      </x:c>
      <x:c r="Z207" s="62" t="str">
        <x:v>https://panoramafirm.pl/papierosy_i_tyto%C5%84/lubelskie,,lublin</x:v>
      </x:c>
      <x:c r="AA207" s="62" t="str">
        <x:v>Dodano z hurtownicy_pl_127.html; Asortyment: Tobacco products | Status źródłowy: Aktywny</x:v>
      </x:c>
      <x:c r="AB207" s="50" t="n">
        <x:v>11</x:v>
      </x:c>
      <x:c r="AC207" s="50" t="n">
        <x:v>15</x:v>
      </x:c>
      <x:c r="AD207" s="50" t="n">
        <x:v>11</x:v>
      </x:c>
      <x:c r="AE207" s="50" t="n">
        <x:v>5</x:v>
      </x:c>
      <x:c r="AF207" s="50" t="n">
        <x:v>10</x:v>
      </x:c>
      <x:c r="AG207" s="50" t="n">
        <x:v>7</x:v>
      </x:c>
      <x:c r="AH207" s="57" t="n">
        <x:v>5</x:v>
      </x:c>
    </x:row>
    <x:row r="208" ht="34" customHeight="1">
      <x:c r="A208" s="87" t="n">
        <x:v>206</x:v>
      </x:c>
      <x:c r="B208" s="88" t="str">
        <x:f>IF(C208&gt;=82,"A"&amp;1&amp;" — kontakt natychmiast",IF(C208&gt;=72,"A"&amp;2&amp;" — kontakt w 7 dni",IF(C208&gt;=58,"B — kampania regionalna",IF(C208&gt;=42,"C — weryfikacja i nurturing","D — niski priorytet/wykluczyć"))))</x:f>
        <x:v>C — weryfikacja i nurturing</x:v>
      </x:c>
      <x:c r="C208" s="88" t="n">
        <x:f>MAX(0,MIN(100,SUM(AB208:AG208)-AH208))</x:f>
        <x:v>54</x:v>
      </x:c>
      <x:c r="D208" s="62" t="str">
        <x:v>Aleksander Ostrowski</x:v>
      </x:c>
      <x:c r="E208" s="62" t="str">
        <x:v>Partner cross-sell / kanał sąsiedni</x:v>
      </x:c>
      <x:c r="F208" s="62" t="str">
        <x:v>S4 — Vape/e-papierosy</x:v>
      </x:c>
      <x:c r="G208" s="62" t="str">
        <x:v>Hurt B2B regionalny</x:v>
      </x:c>
      <x:c r="H208" s="62" t="str">
        <x:v>Warmińsko-mazurskie</x:v>
      </x:c>
      <x:c r="I208" s="62" t="str">
        <x:v>Olsztyn</x:v>
      </x:c>
      <x:c r="J208" s="62" t="str">
        <x:v>Średni</x:v>
      </x:c>
      <x:c r="K208" s="62" t="str"/>
      <x:c r="L208" s="62" t="str"/>
      <x:c r="M208" s="62" t="str"/>
      <x:c r="N208" s="62" t="str"/>
      <x:c r="O208" s="62" t="str">
        <x:v>https://panoramafirm.pl/papierosy_i_tyto%C5%84/warmi%C5%84sko_mazurskie</x:v>
      </x:c>
      <x:c r="P208" s="62" t="str">
        <x:v>Olsztyn, Polska</x:v>
      </x:c>
      <x:c r="Q208" s="62" t="str"/>
      <x:c r="R208" s="62" t="str"/>
      <x:c r="S208" s="62" t="str">
        <x:v>Tytoń | Akcesoria | Tytoń | Vape</x:v>
      </x:c>
      <x:c r="T208" s="62" t="str">
        <x:f>IF(AND(K208&lt;&gt;"",L208&lt;&gt;"",O208&lt;&gt;""),"Pełny",IF(OR(K208&lt;&gt;"",L208&lt;&gt;""),"Częściowy","Brak bezpośredniego kontaktu"))</x:f>
        <x:v>Brak bezpośredniego kontaktu</x:v>
      </x:c>
      <x:c r="U208" s="62" t="str">
        <x:v>Nowy</x:v>
      </x:c>
      <x:c r="V208" s="62" t="str">
        <x:v>BILLS — hurt@bills.pl</x:v>
      </x:c>
      <x:c r="W208" s="62" t="str">
        <x:v>Zweryfikować dane, produkty i status B2B przed kontaktem</x:v>
      </x:c>
      <x:c r="X208" s="81" t="str">
        <x:f>IF(C208&gt;=82,'Model scoringu'!$B$4,IF(C208&gt;=72,'Model scoringu'!$B$5,IF(C208&gt;=58,'Model scoringu'!$B$6,"")))</x:f>
      </x:c>
      <x:c r="Y208" s="62" t="str">
        <x:v>Kanał sąsiedni z bazą klientów zainteresowanych produktami nikotynowymi.</x:v>
      </x:c>
      <x:c r="Z208" s="62" t="str">
        <x:v>https://panoramafirm.pl/papierosy_i_tyto%C5%84/warmi%C5%84sko_mazurskie</x:v>
      </x:c>
      <x:c r="AA208" s="62" t="str">
        <x:v>Dodano z hurtownicy_pl_127.html; Asortyment: Tobacco products | Status źródłowy: Aktywny</x:v>
      </x:c>
      <x:c r="AB208" s="50" t="n">
        <x:v>11</x:v>
      </x:c>
      <x:c r="AC208" s="50" t="n">
        <x:v>15</x:v>
      </x:c>
      <x:c r="AD208" s="50" t="n">
        <x:v>11</x:v>
      </x:c>
      <x:c r="AE208" s="50" t="n">
        <x:v>5</x:v>
      </x:c>
      <x:c r="AF208" s="50" t="n">
        <x:v>10</x:v>
      </x:c>
      <x:c r="AG208" s="50" t="n">
        <x:v>7</x:v>
      </x:c>
      <x:c r="AH208" s="57" t="n">
        <x:v>5</x:v>
      </x:c>
    </x:row>
    <x:row r="209" ht="34" customHeight="1">
      <x:c r="A209" s="87" t="n">
        <x:v>207</x:v>
      </x:c>
      <x:c r="B209" s="88" t="str">
        <x:f>IF(C209&gt;=82,"A"&amp;1&amp;" — kontakt natychmiast",IF(C209&gt;=72,"A"&amp;2&amp;" — kontakt w 7 dni",IF(C209&gt;=58,"B — kampania regionalna",IF(C209&gt;=42,"C — weryfikacja i nurturing","D — niski priorytet/wykluczyć"))))</x:f>
        <x:v>C — weryfikacja i nurturing</x:v>
      </x:c>
      <x:c r="C209" s="88" t="n">
        <x:f>MAX(0,MIN(100,SUM(AB209:AG209)-AH209))</x:f>
        <x:v>54</x:v>
      </x:c>
      <x:c r="D209" s="62" t="str">
        <x:v>Aga — Hurtownia Papierosów i Art. Chemicznych</x:v>
      </x:c>
      <x:c r="E209" s="62" t="str">
        <x:v>Partner cross-sell / kanał sąsiedni</x:v>
      </x:c>
      <x:c r="F209" s="62" t="str">
        <x:v>S4 — Vape/e-papierosy</x:v>
      </x:c>
      <x:c r="G209" s="62" t="str">
        <x:v>Hurt B2B regionalny</x:v>
      </x:c>
      <x:c r="H209" s="62" t="str">
        <x:v>Podkarpackie</x:v>
      </x:c>
      <x:c r="I209" s="62" t="str">
        <x:v>Rzeszów</x:v>
      </x:c>
      <x:c r="J209" s="62" t="str">
        <x:v>Średni</x:v>
      </x:c>
      <x:c r="K209" s="62" t="str"/>
      <x:c r="L209" s="62" t="str"/>
      <x:c r="M209" s="62" t="str"/>
      <x:c r="N209" s="62" t="str"/>
      <x:c r="O209" s="62" t="str">
        <x:v>https://www.cylex-polska.pl/firmy/aga--hurtownia-papieros%C3%B3w-i-art--chemicznych-10405470.html</x:v>
      </x:c>
      <x:c r="P209" s="62" t="str">
        <x:v>Rzeszów, Polska</x:v>
      </x:c>
      <x:c r="Q209" s="62" t="str"/>
      <x:c r="R209" s="62" t="str"/>
      <x:c r="S209" s="62" t="str">
        <x:v>FMCG | Papierosy | Tytoń | Akcesoria | Tytoń | Vape</x:v>
      </x:c>
      <x:c r="T209" s="62" t="str">
        <x:f>IF(AND(K209&lt;&gt;"",L209&lt;&gt;"",O209&lt;&gt;""),"Pełny",IF(OR(K209&lt;&gt;"",L209&lt;&gt;""),"Częściowy","Brak bezpośredniego kontaktu"))</x:f>
        <x:v>Brak bezpośredniego kontaktu</x:v>
      </x:c>
      <x:c r="U209" s="62" t="str">
        <x:v>Nowy</x:v>
      </x:c>
      <x:c r="V209" s="62" t="str">
        <x:v>BILLS — hurt@bills.pl</x:v>
      </x:c>
      <x:c r="W209" s="62" t="str">
        <x:v>Zweryfikować dane, produkty i status B2B przed kontaktem</x:v>
      </x:c>
      <x:c r="X209" s="81" t="str">
        <x:f>IF(C209&gt;=82,'Model scoringu'!$B$4,IF(C209&gt;=72,'Model scoringu'!$B$5,IF(C209&gt;=58,'Model scoringu'!$B$6,"")))</x:f>
      </x:c>
      <x:c r="Y209" s="62" t="str">
        <x:v>Kanał sąsiedni z bazą klientów zainteresowanych produktami nikotynowymi.</x:v>
      </x:c>
      <x:c r="Z209" s="62" t="str">
        <x:v>https://www.cylex-polska.pl/firmy/aga--hurtownia-papieros%C3%B3w-i-art--chemicznych-10405470.html</x:v>
      </x:c>
      <x:c r="AA209" s="62" t="str">
        <x:v>Dodano z hurtownicy_pl_127.html; Asortyment: Cigarettes, tobacco, chemicals | Status źródłowy: Aktywny</x:v>
      </x:c>
      <x:c r="AB209" s="50" t="n">
        <x:v>11</x:v>
      </x:c>
      <x:c r="AC209" s="50" t="n">
        <x:v>15</x:v>
      </x:c>
      <x:c r="AD209" s="50" t="n">
        <x:v>11</x:v>
      </x:c>
      <x:c r="AE209" s="50" t="n">
        <x:v>5</x:v>
      </x:c>
      <x:c r="AF209" s="50" t="n">
        <x:v>10</x:v>
      </x:c>
      <x:c r="AG209" s="50" t="n">
        <x:v>7</x:v>
      </x:c>
      <x:c r="AH209" s="57" t="n">
        <x:v>5</x:v>
      </x:c>
    </x:row>
    <x:row r="210" ht="34" customHeight="1">
      <x:c r="A210" s="87" t="n">
        <x:v>208</x:v>
      </x:c>
      <x:c r="B210" s="88" t="str">
        <x:f>IF(C210&gt;=82,"A"&amp;1&amp;" — kontakt natychmiast",IF(C210&gt;=72,"A"&amp;2&amp;" — kontakt w 7 dni",IF(C210&gt;=58,"B — kampania regionalna",IF(C210&gt;=42,"C — weryfikacja i nurturing","D — niski priorytet/wykluczyć"))))</x:f>
        <x:v>C — weryfikacja i nurturing</x:v>
      </x:c>
      <x:c r="C210" s="88" t="n">
        <x:f>MAX(0,MIN(100,SUM(AB210:AG210)-AH210))</x:f>
        <x:v>54</x:v>
      </x:c>
      <x:c r="D210" s="62" t="str">
        <x:v>ALFA — Hurtownia Papierosów, Chemii Gospodarczej i Kart Telefonicznych</x:v>
      </x:c>
      <x:c r="E210" s="62" t="str">
        <x:v>Partner cross-sell / kanał sąsiedni</x:v>
      </x:c>
      <x:c r="F210" s="62" t="str">
        <x:v>S4 — Vape/e-papierosy</x:v>
      </x:c>
      <x:c r="G210" s="62" t="str">
        <x:v>Hurt B2B regionalny</x:v>
      </x:c>
      <x:c r="H210" s="62" t="str">
        <x:v>Podlaskie</x:v>
      </x:c>
      <x:c r="I210" s="62" t="str">
        <x:v>Białystok</x:v>
      </x:c>
      <x:c r="J210" s="62" t="str">
        <x:v>Średni</x:v>
      </x:c>
      <x:c r="K210" s="62" t="str"/>
      <x:c r="L210" s="62" t="str"/>
      <x:c r="M210" s="62" t="str"/>
      <x:c r="N210" s="62" t="str"/>
      <x:c r="O210" s="62" t="str">
        <x:v>https://www.bialystokonline.pl/alfa-hurtownia-papierosow-chemii-gospodarczej-kart-telefonicznych,firma,2688,244,17,0,1.html</x:v>
      </x:c>
      <x:c r="P210" s="62" t="str">
        <x:v>Białystok, Polska</x:v>
      </x:c>
      <x:c r="Q210" s="62" t="str"/>
      <x:c r="R210" s="62" t="str"/>
      <x:c r="S210" s="62" t="str">
        <x:v>FMCG | Papierosy | Tytoń | Akcesoria | Tytoń | Vape</x:v>
      </x:c>
      <x:c r="T210" s="62" t="str">
        <x:f>IF(AND(K210&lt;&gt;"",L210&lt;&gt;"",O210&lt;&gt;""),"Pełny",IF(OR(K210&lt;&gt;"",L210&lt;&gt;""),"Częściowy","Brak bezpośredniego kontaktu"))</x:f>
        <x:v>Brak bezpośredniego kontaktu</x:v>
      </x:c>
      <x:c r="U210" s="62" t="str">
        <x:v>Nowy</x:v>
      </x:c>
      <x:c r="V210" s="62" t="str">
        <x:v>BILLS — hurt@bills.pl</x:v>
      </x:c>
      <x:c r="W210" s="62" t="str">
        <x:v>Zweryfikować dane, produkty i status B2B przed kontaktem</x:v>
      </x:c>
      <x:c r="X210" s="81" t="str">
        <x:f>IF(C210&gt;=82,'Model scoringu'!$B$4,IF(C210&gt;=72,'Model scoringu'!$B$5,IF(C210&gt;=58,'Model scoringu'!$B$6,"")))</x:f>
      </x:c>
      <x:c r="Y210" s="62" t="str">
        <x:v>Kanał sąsiedni z bazą klientów zainteresowanych produktami nikotynowymi.</x:v>
      </x:c>
      <x:c r="Z210" s="62" t="str">
        <x:v>https://www.bialystokonline.pl/alfa-hurtownia-papierosow-chemii-gospodarczej-kart-telefonicznych,firma,2688,244,17,0,1.html</x:v>
      </x:c>
      <x:c r="AA210" s="62" t="str">
        <x:v>Dodano z hurtownicy_pl_127.html; Asortyment: Cigarettes, tobacco, household chemicals, phone cards | Status źródłowy: Aktywny</x:v>
      </x:c>
      <x:c r="AB210" s="50" t="n">
        <x:v>11</x:v>
      </x:c>
      <x:c r="AC210" s="50" t="n">
        <x:v>15</x:v>
      </x:c>
      <x:c r="AD210" s="50" t="n">
        <x:v>11</x:v>
      </x:c>
      <x:c r="AE210" s="50" t="n">
        <x:v>5</x:v>
      </x:c>
      <x:c r="AF210" s="50" t="n">
        <x:v>10</x:v>
      </x:c>
      <x:c r="AG210" s="50" t="n">
        <x:v>7</x:v>
      </x:c>
      <x:c r="AH210" s="57" t="n">
        <x:v>5</x:v>
      </x:c>
    </x:row>
    <x:row r="211" ht="34" customHeight="1">
      <x:c r="A211" s="87" t="n">
        <x:v>209</x:v>
      </x:c>
      <x:c r="B211" s="88" t="str">
        <x:f>IF(C211&gt;=82,"A"&amp;1&amp;" — kontakt natychmiast",IF(C211&gt;=72,"A"&amp;2&amp;" — kontakt w 7 dni",IF(C211&gt;=58,"B — kampania regionalna",IF(C211&gt;=42,"C — weryfikacja i nurturing","D — niski priorytet/wykluczyć"))))</x:f>
        <x:v>C — weryfikacja i nurturing</x:v>
      </x:c>
      <x:c r="C211" s="88" t="n">
        <x:f>MAX(0,MIN(100,SUM(AB211:AG211)-AH211))</x:f>
        <x:v>54</x:v>
      </x:c>
      <x:c r="D211" s="62" t="str">
        <x:v>ALF2 — Hurtownia Papierosów i Chemii Gospodarczej</x:v>
      </x:c>
      <x:c r="E211" s="62" t="str">
        <x:v>Partner cross-sell / kanał sąsiedni</x:v>
      </x:c>
      <x:c r="F211" s="62" t="str">
        <x:v>S4 — Vape/e-papierosy</x:v>
      </x:c>
      <x:c r="G211" s="62" t="str">
        <x:v>Hurt B2B regionalny</x:v>
      </x:c>
      <x:c r="H211" s="62" t="str">
        <x:v>Małopolskie</x:v>
      </x:c>
      <x:c r="I211" s="62" t="str">
        <x:v>Bochnia</x:v>
      </x:c>
      <x:c r="J211" s="62" t="str">
        <x:v>Średni</x:v>
      </x:c>
      <x:c r="K211" s="62" t="str"/>
      <x:c r="L211" s="62" t="str"/>
      <x:c r="M211" s="62" t="str"/>
      <x:c r="N211" s="62" t="str"/>
      <x:c r="O211" s="62" t="str">
        <x:v>https://alf2spj.wixsite.com/alf2</x:v>
      </x:c>
      <x:c r="P211" s="62" t="str">
        <x:v>Bochnia, Polska</x:v>
      </x:c>
      <x:c r="Q211" s="62" t="str"/>
      <x:c r="R211" s="62" t="str"/>
      <x:c r="S211" s="62" t="str">
        <x:v>Akcesoria Tytoniowe | FMCG | Papierosy | Tytoń | Akcesoria | Tytoń | Vape</x:v>
      </x:c>
      <x:c r="T211" s="62" t="str">
        <x:f>IF(AND(K211&lt;&gt;"",L211&lt;&gt;"",O211&lt;&gt;""),"Pełny",IF(OR(K211&lt;&gt;"",L211&lt;&gt;""),"Częściowy","Brak bezpośredniego kontaktu"))</x:f>
        <x:v>Brak bezpośredniego kontaktu</x:v>
      </x:c>
      <x:c r="U211" s="62" t="str">
        <x:v>Nowy</x:v>
      </x:c>
      <x:c r="V211" s="62" t="str">
        <x:v>BILLS — hurt@bills.pl</x:v>
      </x:c>
      <x:c r="W211" s="62" t="str">
        <x:v>Zweryfikować dane, produkty i status B2B przed kontaktem</x:v>
      </x:c>
      <x:c r="X211" s="81" t="str">
        <x:f>IF(C211&gt;=82,'Model scoringu'!$B$4,IF(C211&gt;=72,'Model scoringu'!$B$5,IF(C211&gt;=58,'Model scoringu'!$B$6,"")))</x:f>
      </x:c>
      <x:c r="Y211" s="62" t="str">
        <x:v>Kanał sąsiedni z bazą klientów zainteresowanych produktami nikotynowymi.</x:v>
      </x:c>
      <x:c r="Z211" s="62" t="str">
        <x:v>https://alf2spj.wixsite.com/alf2</x:v>
      </x:c>
      <x:c r="AA211" s="62" t="str">
        <x:v>Dodano z hurtownicy_pl_127.html; Asortyment: Cigarettes, tobacco, tubes, accessories, household chemicals | Status źródłowy: Aktywny</x:v>
      </x:c>
      <x:c r="AB211" s="50" t="n">
        <x:v>11</x:v>
      </x:c>
      <x:c r="AC211" s="50" t="n">
        <x:v>15</x:v>
      </x:c>
      <x:c r="AD211" s="50" t="n">
        <x:v>11</x:v>
      </x:c>
      <x:c r="AE211" s="50" t="n">
        <x:v>5</x:v>
      </x:c>
      <x:c r="AF211" s="50" t="n">
        <x:v>10</x:v>
      </x:c>
      <x:c r="AG211" s="50" t="n">
        <x:v>7</x:v>
      </x:c>
      <x:c r="AH211" s="57" t="n">
        <x:v>5</x:v>
      </x:c>
    </x:row>
    <x:row r="212" ht="34" customHeight="1">
      <x:c r="A212" s="87" t="n">
        <x:v>210</x:v>
      </x:c>
      <x:c r="B212" s="88" t="str">
        <x:f>IF(C212&gt;=82,"A"&amp;1&amp;" — kontakt natychmiast",IF(C212&gt;=72,"A"&amp;2&amp;" — kontakt w 7 dni",IF(C212&gt;=58,"B — kampania regionalna",IF(C212&gt;=42,"C — weryfikacja i nurturing","D — niski priorytet/wykluczyć"))))</x:f>
        <x:v>C — weryfikacja i nurturing</x:v>
      </x:c>
      <x:c r="C212" s="88" t="n">
        <x:f>MAX(0,MIN(100,SUM(AB212:AG212)-AH212))</x:f>
        <x:v>54</x:v>
      </x:c>
      <x:c r="D212" s="62" t="str">
        <x:v>"Lorbad" Sp. z o.o.</x:v>
      </x:c>
      <x:c r="E212" s="62" t="str">
        <x:v>Partner cross-sell / kanał sąsiedni</x:v>
      </x:c>
      <x:c r="F212" s="62" t="str">
        <x:v>S4 — Vape/e-papierosy</x:v>
      </x:c>
      <x:c r="G212" s="62" t="str">
        <x:v>Hurt B2B regionalny</x:v>
      </x:c>
      <x:c r="H212" s="62" t="str">
        <x:v>Śląskie</x:v>
      </x:c>
      <x:c r="I212" s="62" t="str">
        <x:v>Śląskie</x:v>
      </x:c>
      <x:c r="J212" s="62" t="str">
        <x:v>Średni</x:v>
      </x:c>
      <x:c r="K212" s="62" t="str"/>
      <x:c r="L212" s="62" t="str"/>
      <x:c r="M212" s="62" t="str"/>
      <x:c r="N212" s="62" t="str"/>
      <x:c r="O212" s="62" t="str">
        <x:v>https://panoramafirm.pl/hurtownia_papieros%C3%B3w/%C5%9Bl%C4%85skie</x:v>
      </x:c>
      <x:c r="P212" s="62" t="str">
        <x:v>Śląskie, Polska</x:v>
      </x:c>
      <x:c r="Q212" s="62" t="str"/>
      <x:c r="R212" s="62" t="str"/>
      <x:c r="S212" s="62" t="str">
        <x:v>Tytoń | Akcesoria | Tytoń | Vape</x:v>
      </x:c>
      <x:c r="T212" s="62" t="str">
        <x:f>IF(AND(K212&lt;&gt;"",L212&lt;&gt;"",O212&lt;&gt;""),"Pełny",IF(OR(K212&lt;&gt;"",L212&lt;&gt;""),"Częściowy","Brak bezpośredniego kontaktu"))</x:f>
        <x:v>Brak bezpośredniego kontaktu</x:v>
      </x:c>
      <x:c r="U212" s="62" t="str">
        <x:v>Nowy</x:v>
      </x:c>
      <x:c r="V212" s="62" t="str">
        <x:v>BILLS — hurt@bills.pl</x:v>
      </x:c>
      <x:c r="W212" s="62" t="str">
        <x:v>Zweryfikować dane, produkty i status B2B przed kontaktem</x:v>
      </x:c>
      <x:c r="X212" s="81" t="str">
        <x:f>IF(C212&gt;=82,'Model scoringu'!$B$4,IF(C212&gt;=72,'Model scoringu'!$B$5,IF(C212&gt;=58,'Model scoringu'!$B$6,"")))</x:f>
      </x:c>
      <x:c r="Y212" s="62" t="str">
        <x:v>Kanał sąsiedni z bazą klientów zainteresowanych produktami nikotynowymi.</x:v>
      </x:c>
      <x:c r="Z212" s="62" t="str">
        <x:v>https://panoramafirm.pl/hurtownia_papieros%C3%B3w/%C5%9Bl%C4%85skie</x:v>
      </x:c>
      <x:c r="AA212" s="62" t="str">
        <x:v>Dodano z hurtownicy_pl_127.html; Asortyment: Tobacco products | Status źródłowy: Aktywny</x:v>
      </x:c>
      <x:c r="AB212" s="50" t="n">
        <x:v>11</x:v>
      </x:c>
      <x:c r="AC212" s="50" t="n">
        <x:v>15</x:v>
      </x:c>
      <x:c r="AD212" s="50" t="n">
        <x:v>11</x:v>
      </x:c>
      <x:c r="AE212" s="50" t="n">
        <x:v>5</x:v>
      </x:c>
      <x:c r="AF212" s="50" t="n">
        <x:v>10</x:v>
      </x:c>
      <x:c r="AG212" s="50" t="n">
        <x:v>7</x:v>
      </x:c>
      <x:c r="AH212" s="57" t="n">
        <x:v>5</x:v>
      </x:c>
    </x:row>
    <x:row r="213" ht="34" customHeight="1">
      <x:c r="A213" s="87" t="n">
        <x:v>211</x:v>
      </x:c>
      <x:c r="B213" s="88" t="str">
        <x:f>IF(C213&gt;=82,"A"&amp;1&amp;" — kontakt natychmiast",IF(C213&gt;=72,"A"&amp;2&amp;" — kontakt w 7 dni",IF(C213&gt;=58,"B — kampania regionalna",IF(C213&gt;=42,"C — weryfikacja i nurturing","D — niski priorytet/wykluczyć"))))</x:f>
        <x:v>C — weryfikacja i nurturing</x:v>
      </x:c>
      <x:c r="C213" s="88" t="n">
        <x:f>MAX(0,MIN(100,SUM(AB213:AG213)-AH213))</x:f>
        <x:v>54</x:v>
      </x:c>
      <x:c r="D213" s="62" t="str">
        <x:v>"Kamel" Sp.j. Hurtownia Papierosów</x:v>
      </x:c>
      <x:c r="E213" s="62" t="str">
        <x:v>Partner cross-sell / kanał sąsiedni</x:v>
      </x:c>
      <x:c r="F213" s="62" t="str">
        <x:v>S4 — Vape/e-papierosy</x:v>
      </x:c>
      <x:c r="G213" s="62" t="str">
        <x:v>Hurt B2B regionalny</x:v>
      </x:c>
      <x:c r="H213" s="62" t="str">
        <x:v>Opolskie</x:v>
      </x:c>
      <x:c r="I213" s="62" t="str">
        <x:v>Konin</x:v>
      </x:c>
      <x:c r="J213" s="62" t="str">
        <x:v>Średni</x:v>
      </x:c>
      <x:c r="K213" s="62" t="str"/>
      <x:c r="L213" s="62" t="str"/>
      <x:c r="M213" s="62" t="str"/>
      <x:c r="N213" s="62" t="str"/>
      <x:c r="O213" s="62" t="str">
        <x:v>https://panoramafirm.pl/wielkopolskie,,konin,wio%C5%9Blarska,16/kamel_sp.j._hurtownia_papierosow-ssfip_sin.html</x:v>
      </x:c>
      <x:c r="P213" s="62" t="str">
        <x:v>Konin, Polska</x:v>
      </x:c>
      <x:c r="Q213" s="62" t="str"/>
      <x:c r="R213" s="62" t="str"/>
      <x:c r="S213" s="62" t="str">
        <x:v>Papierosy | Tytoń | Akcesoria | Tytoń | Vape</x:v>
      </x:c>
      <x:c r="T213" s="62" t="str">
        <x:f>IF(AND(K213&lt;&gt;"",L213&lt;&gt;"",O213&lt;&gt;""),"Pełny",IF(OR(K213&lt;&gt;"",L213&lt;&gt;""),"Częściowy","Brak bezpośredniego kontaktu"))</x:f>
        <x:v>Brak bezpośredniego kontaktu</x:v>
      </x:c>
      <x:c r="U213" s="62" t="str">
        <x:v>Nowy</x:v>
      </x:c>
      <x:c r="V213" s="62" t="str">
        <x:v>BILLS — hurt@bills.pl</x:v>
      </x:c>
      <x:c r="W213" s="62" t="str">
        <x:v>Zweryfikować dane, produkty i status B2B przed kontaktem</x:v>
      </x:c>
      <x:c r="X213" s="81" t="str">
        <x:f>IF(C213&gt;=82,'Model scoringu'!$B$4,IF(C213&gt;=72,'Model scoringu'!$B$5,IF(C213&gt;=58,'Model scoringu'!$B$6,"")))</x:f>
      </x:c>
      <x:c r="Y213" s="62" t="str">
        <x:v>Kanał sąsiedni z bazą klientów zainteresowanych produktami nikotynowymi.</x:v>
      </x:c>
      <x:c r="Z213" s="62" t="str">
        <x:v>https://panoramafirm.pl/wielkopolskie,,konin,wio%C5%9Blarska,16/kamel_sp.j._hurtownia_papierosow-ssfip_sin.html</x:v>
      </x:c>
      <x:c r="AA213" s="62" t="str">
        <x:v>Dodano z hurtownicy_pl_127.html; Asortyment: Cigarettes, tobacco | Status źródłowy: Aktywny</x:v>
      </x:c>
      <x:c r="AB213" s="50" t="n">
        <x:v>11</x:v>
      </x:c>
      <x:c r="AC213" s="50" t="n">
        <x:v>15</x:v>
      </x:c>
      <x:c r="AD213" s="50" t="n">
        <x:v>11</x:v>
      </x:c>
      <x:c r="AE213" s="50" t="n">
        <x:v>5</x:v>
      </x:c>
      <x:c r="AF213" s="50" t="n">
        <x:v>10</x:v>
      </x:c>
      <x:c r="AG213" s="50" t="n">
        <x:v>7</x:v>
      </x:c>
      <x:c r="AH213" s="57" t="n">
        <x:v>5</x:v>
      </x:c>
    </x:row>
    <x:row r="214" ht="34" customHeight="1">
      <x:c r="A214" s="87" t="n">
        <x:v>212</x:v>
      </x:c>
      <x:c r="B214" s="88" t="str">
        <x:f>IF(C214&gt;=82,"A"&amp;1&amp;" — kontakt natychmiast",IF(C214&gt;=72,"A"&amp;2&amp;" — kontakt w 7 dni",IF(C214&gt;=58,"B — kampania regionalna",IF(C214&gt;=42,"C — weryfikacja i nurturing","D — niski priorytet/wykluczyć"))))</x:f>
        <x:v>C — weryfikacja i nurturing</x:v>
      </x:c>
      <x:c r="C214" s="88" t="n">
        <x:f>MAX(0,MIN(100,SUM(AB214:AG214)-AH214))</x:f>
        <x:v>53</x:v>
      </x:c>
      <x:c r="D214" s="62" t="str">
        <x:v>Minos. Hurtownia papierosów, wyrobów tytoniowych, chemii gospodarczej</x:v>
      </x:c>
      <x:c r="E214" s="62" t="str">
        <x:v>Partner cross-sell / kanał sąsiedni</x:v>
      </x:c>
      <x:c r="F214" s="62" t="str">
        <x:v>S4 — Vape/e-papierosy</x:v>
      </x:c>
      <x:c r="G214" s="62" t="str">
        <x:v>Hurt B2B regionalny</x:v>
      </x:c>
      <x:c r="H214" s="62" t="str">
        <x:v>Mazowieckie</x:v>
      </x:c>
      <x:c r="I214" s="62" t="str">
        <x:v>Radom</x:v>
      </x:c>
      <x:c r="J214" s="62" t="str">
        <x:v>Nieustalona</x:v>
      </x:c>
      <x:c r="K214" s="62" t="str"/>
      <x:c r="L214" s="62" t="str"/>
      <x:c r="M214" s="62" t="str"/>
      <x:c r="N214" s="62" t="str"/>
      <x:c r="O214" s="62" t="str">
        <x:v>https://www.misterwhat.pl/company/196155-minos-sp-z-oo-hurtownia-papierosow-wyrobow-tytoniowych-chemii-gospodarczej-radom</x:v>
      </x:c>
      <x:c r="P214" s="62" t="str">
        <x:v>Radom, Polska</x:v>
      </x:c>
      <x:c r="Q214" s="62" t="str"/>
      <x:c r="R214" s="62" t="str"/>
      <x:c r="S214" s="62" t="str">
        <x:v>FMCG | Papierosy | Tytoń | Akcesoria | Tytoń | Vape</x:v>
      </x:c>
      <x:c r="T214" s="62" t="str">
        <x:f>IF(AND(K214&lt;&gt;"",L214&lt;&gt;"",O214&lt;&gt;""),"Pełny",IF(OR(K214&lt;&gt;"",L214&lt;&gt;""),"Częściowy","Brak bezpośredniego kontaktu"))</x:f>
        <x:v>Brak bezpośredniego kontaktu</x:v>
      </x:c>
      <x:c r="U214" s="62" t="str">
        <x:v>Nowy</x:v>
      </x:c>
      <x:c r="V214" s="62" t="str">
        <x:v>BILLS — hurt@bills.pl</x:v>
      </x:c>
      <x:c r="W214" s="62" t="str">
        <x:v>Zweryfikować dane, produkty i status B2B przed kontaktem</x:v>
      </x:c>
      <x:c r="X214" s="81" t="str">
        <x:f>IF(C214&gt;=82,'Model scoringu'!$B$4,IF(C214&gt;=72,'Model scoringu'!$B$5,IF(C214&gt;=58,'Model scoringu'!$B$6,"")))</x:f>
      </x:c>
      <x:c r="Y214" s="62" t="str">
        <x:v>Kanał sąsiedni z bazą klientów zainteresowanych produktami nikotynowymi.</x:v>
      </x:c>
      <x:c r="Z214" s="62" t="str">
        <x:v>https://www.misterwhat.pl/company/196155-minos-sp-z-oo-hurtownia-papierosow-wyrobow-tytoniowych-chemii-gospodarczej-radom</x:v>
      </x:c>
      <x:c r="AA214" s="62" t="str">
        <x:v>Dodano z Hurtownicy-Wszystkie-Dane-Zebrane_matrix_v10.html | Status źródłowy: Niezweryfikowany</x:v>
      </x:c>
      <x:c r="AB214" s="50" t="n">
        <x:v>11</x:v>
      </x:c>
      <x:c r="AC214" s="50" t="n">
        <x:v>15</x:v>
      </x:c>
      <x:c r="AD214" s="50" t="n">
        <x:v>7</x:v>
      </x:c>
      <x:c r="AE214" s="50" t="n">
        <x:v>5</x:v>
      </x:c>
      <x:c r="AF214" s="50" t="n">
        <x:v>10</x:v>
      </x:c>
      <x:c r="AG214" s="50" t="n">
        <x:v>10</x:v>
      </x:c>
      <x:c r="AH214" s="57" t="n">
        <x:v>5</x:v>
      </x:c>
    </x:row>
    <x:row r="215" ht="34" customHeight="1">
      <x:c r="A215" s="87" t="n">
        <x:v>213</x:v>
      </x:c>
      <x:c r="B215" s="88" t="str">
        <x:f>IF(C215&gt;=82,"A"&amp;1&amp;" — kontakt natychmiast",IF(C215&gt;=72,"A"&amp;2&amp;" — kontakt w 7 dni",IF(C215&gt;=58,"B — kampania regionalna",IF(C215&gt;=42,"C — weryfikacja i nurturing","D — niski priorytet/wykluczyć"))))</x:f>
        <x:v>C — weryfikacja i nurturing</x:v>
      </x:c>
      <x:c r="C215" s="88" t="n">
        <x:f>MAX(0,MIN(100,SUM(AB215:AG215)-AH215))</x:f>
        <x:v>51</x:v>
      </x:c>
      <x:c r="D215" s="62" t="str">
        <x:v>Sklep Tytoniowy Dobry Tytoń</x:v>
      </x:c>
      <x:c r="E215" s="62" t="str">
        <x:v>Partner cross-sell / kanał sąsiedni</x:v>
      </x:c>
      <x:c r="F215" s="62" t="str">
        <x:v>S4 — Vape/e-papierosy</x:v>
      </x:c>
      <x:c r="G215" s="62" t="str">
        <x:v>Detal/e-commerce</x:v>
      </x:c>
      <x:c r="H215" s="62" t="str">
        <x:v>Mazowieckie</x:v>
      </x:c>
      <x:c r="I215" s="62" t="str">
        <x:v>Warszawa</x:v>
      </x:c>
      <x:c r="J215" s="62" t="str">
        <x:v>Nieustalona</x:v>
      </x:c>
      <x:c r="K215" s="62" t="str"/>
      <x:c r="L215" s="62" t="str">
        <x:v>535 062 684</x:v>
      </x:c>
      <x:c r="M215" s="62" t="str"/>
      <x:c r="N215" s="62" t="str"/>
      <x:c r="O215" s="62" t="str"/>
      <x:c r="P215" s="62" t="str">
        <x:v>ul. Elbro 4/9/5, Warszawa</x:v>
      </x:c>
      <x:c r="Q215" s="62" t="str">
        <x:v>4792425041</x:v>
      </x:c>
      <x:c r="R215" s="62" t="str"/>
      <x:c r="S215" s="62" t="str">
        <x:v>Akcesoria | Tytoń | Vape</x:v>
      </x:c>
      <x:c r="T215" s="62" t="str">
        <x:f>IF(AND(K215&lt;&gt;"",L215&lt;&gt;"",O215&lt;&gt;""),"Pełny",IF(OR(K215&lt;&gt;"",L215&lt;&gt;""),"Częściowy","Brak bezpośredniego kontaktu"))</x:f>
        <x:v>Częściowy</x:v>
      </x:c>
      <x:c r="U215" s="62" t="str">
        <x:v>Nowy</x:v>
      </x:c>
      <x:c r="V215" s="62" t="str">
        <x:v>BILLS — hurt@bills.pl</x:v>
      </x:c>
      <x:c r="W215" s="62" t="str">
        <x:v>Zweryfikować dane, produkty i status B2B przed kontaktem</x:v>
      </x:c>
      <x:c r="X215" s="81" t="str">
        <x:f>IF(C215&gt;=82,'Model scoringu'!$B$4,IF(C215&gt;=72,'Model scoringu'!$B$5,IF(C215&gt;=58,'Model scoringu'!$B$6,"")))</x:f>
      </x:c>
      <x:c r="Y215" s="62" t="str">
        <x:v>Kanał sąsiedni z bazą klientów zainteresowanych produktami nikotynowymi.</x:v>
      </x:c>
      <x:c r="Z215" s="62" t="str"/>
      <x:c r="AA215" s="62" t="str">
        <x:v>Dodano z final_turn_001.md; Potencjał: Niski | Status źródłowy: Niezweryfikowany</x:v>
      </x:c>
      <x:c r="AB215" s="50" t="n">
        <x:v>11</x:v>
      </x:c>
      <x:c r="AC215" s="50" t="n">
        <x:v>7</x:v>
      </x:c>
      <x:c r="AD215" s="50" t="n">
        <x:v>7</x:v>
      </x:c>
      <x:c r="AE215" s="50" t="n">
        <x:v>6</x:v>
      </x:c>
      <x:c r="AF215" s="50" t="n">
        <x:v>10</x:v>
      </x:c>
      <x:c r="AG215" s="50" t="n">
        <x:v>10</x:v>
      </x:c>
      <x:c r="AH215" s="57" t="n">
        <x:v>0</x:v>
      </x:c>
    </x:row>
    <x:row r="216" ht="34" customHeight="1">
      <x:c r="A216" s="87" t="n">
        <x:v>214</x:v>
      </x:c>
      <x:c r="B216" s="88" t="str">
        <x:f>IF(C216&gt;=82,"A"&amp;1&amp;" — kontakt natychmiast",IF(C216&gt;=72,"A"&amp;2&amp;" — kontakt w 7 dni",IF(C216&gt;=58,"B — kampania regionalna",IF(C216&gt;=42,"C — weryfikacja i nurturing","D — niski priorytet/wykluczyć"))))</x:f>
        <x:v>C — weryfikacja i nurturing</x:v>
      </x:c>
      <x:c r="C216" s="88" t="n">
        <x:f>MAX(0,MIN(100,SUM(AB216:AG216)-AH216))</x:f>
        <x:v>51</x:v>
      </x:c>
      <x:c r="D216" s="62" t="str">
        <x:v>Vapetech Poland</x:v>
      </x:c>
      <x:c r="E216" s="62" t="str">
        <x:v>Partner cross-sell / kanał sąsiedni</x:v>
      </x:c>
      <x:c r="F216" s="62" t="str">
        <x:v>S4 — Vape/e-papierosy</x:v>
      </x:c>
      <x:c r="G216" s="62" t="str">
        <x:v>Hurt B2B regionalny</x:v>
      </x:c>
      <x:c r="H216" s="62" t="str">
        <x:v>Nieustalony</x:v>
      </x:c>
      <x:c r="I216" s="62" t="str"/>
      <x:c r="J216" s="62" t="str">
        <x:v>Nieustalona</x:v>
      </x:c>
      <x:c r="K216" s="62" t="str"/>
      <x:c r="L216" s="62" t="str"/>
      <x:c r="M216" s="62" t="str"/>
      <x:c r="N216" s="62" t="str"/>
      <x:c r="O216" s="62" t="str">
        <x:v>https://vapetechpoland.pl</x:v>
      </x:c>
      <x:c r="P216" s="62" t="str"/>
      <x:c r="Q216" s="62" t="str"/>
      <x:c r="R216" s="62" t="str"/>
      <x:c r="S216" s="62" t="str">
        <x:v>Vape</x:v>
      </x:c>
      <x:c r="T216" s="62" t="str">
        <x:f>IF(AND(K216&lt;&gt;"",L216&lt;&gt;"",O216&lt;&gt;""),"Pełny",IF(OR(K216&lt;&gt;"",L216&lt;&gt;""),"Częściowy","Brak bezpośredniego kontaktu"))</x:f>
        <x:v>Brak bezpośredniego kontaktu</x:v>
      </x:c>
      <x:c r="U216" s="62" t="str">
        <x:v>Nowy</x:v>
      </x:c>
      <x:c r="V216" s="62" t="str">
        <x:v>BILLS — hurt@bills.pl</x:v>
      </x:c>
      <x:c r="W216" s="62" t="str">
        <x:v>Zweryfikować dane, produkty i status B2B przed kontaktem</x:v>
      </x:c>
      <x:c r="X216" s="81" t="str">
        <x:f>IF(C216&gt;=82,'Model scoringu'!$B$4,IF(C216&gt;=72,'Model scoringu'!$B$5,IF(C216&gt;=58,'Model scoringu'!$B$6,"")))</x:f>
      </x:c>
      <x:c r="Y216" s="62" t="str">
        <x:v>Kanał sąsiedni z bazą klientów zainteresowanych produktami nikotynowymi.</x:v>
      </x:c>
      <x:c r="Z216" s="62" t="str">
        <x:v>https://vapetechpoland.pl</x:v>
      </x:c>
      <x:c r="AA216" s="62" t="str"/>
      <x:c r="AB216" s="50" t="n">
        <x:v>11</x:v>
      </x:c>
      <x:c r="AC216" s="50" t="n">
        <x:v>15</x:v>
      </x:c>
      <x:c r="AD216" s="50" t="n">
        <x:v>7</x:v>
      </x:c>
      <x:c r="AE216" s="50" t="n">
        <x:v>3</x:v>
      </x:c>
      <x:c r="AF216" s="50" t="n">
        <x:v>10</x:v>
      </x:c>
      <x:c r="AG216" s="50" t="n">
        <x:v>5</x:v>
      </x:c>
      <x:c r="AH216" s="57" t="n">
        <x:v>0</x:v>
      </x:c>
    </x:row>
    <x:row r="217" ht="34" customHeight="1">
      <x:c r="A217" s="87" t="n">
        <x:v>215</x:v>
      </x:c>
      <x:c r="B217" s="88" t="str">
        <x:f>IF(C217&gt;=82,"A"&amp;1&amp;" — kontakt natychmiast",IF(C217&gt;=72,"A"&amp;2&amp;" — kontakt w 7 dni",IF(C217&gt;=58,"B — kampania regionalna",IF(C217&gt;=42,"C — weryfikacja i nurturing","D — niski priorytet/wykluczyć"))))</x:f>
        <x:v>C — weryfikacja i nurturing</x:v>
      </x:c>
      <x:c r="C217" s="88" t="n">
        <x:f>MAX(0,MIN(100,SUM(AB217:AG217)-AH217))</x:f>
        <x:v>51</x:v>
      </x:c>
      <x:c r="D217" s="62" t="str">
        <x:v>E-LIQ Distribution</x:v>
      </x:c>
      <x:c r="E217" s="62" t="str">
        <x:v>Partner cross-sell / kanał sąsiedni</x:v>
      </x:c>
      <x:c r="F217" s="62" t="str">
        <x:v>S4 — Vape/e-papierosy</x:v>
      </x:c>
      <x:c r="G217" s="62" t="str">
        <x:v>Hurt B2B regionalny</x:v>
      </x:c>
      <x:c r="H217" s="62" t="str">
        <x:v>Nieustalony</x:v>
      </x:c>
      <x:c r="I217" s="62" t="str"/>
      <x:c r="J217" s="62" t="str">
        <x:v>Nieustalona</x:v>
      </x:c>
      <x:c r="K217" s="62" t="str"/>
      <x:c r="L217" s="62" t="str"/>
      <x:c r="M217" s="62" t="str"/>
      <x:c r="N217" s="62" t="str"/>
      <x:c r="O217" s="62" t="str">
        <x:v>https://b2b-eliq.pl</x:v>
      </x:c>
      <x:c r="P217" s="62" t="str"/>
      <x:c r="Q217" s="62" t="str"/>
      <x:c r="R217" s="62" t="str"/>
      <x:c r="S217" s="62" t="str">
        <x:v>Vape</x:v>
      </x:c>
      <x:c r="T217" s="62" t="str">
        <x:f>IF(AND(K217&lt;&gt;"",L217&lt;&gt;"",O217&lt;&gt;""),"Pełny",IF(OR(K217&lt;&gt;"",L217&lt;&gt;""),"Częściowy","Brak bezpośredniego kontaktu"))</x:f>
        <x:v>Brak bezpośredniego kontaktu</x:v>
      </x:c>
      <x:c r="U217" s="62" t="str">
        <x:v>Nowy</x:v>
      </x:c>
      <x:c r="V217" s="62" t="str">
        <x:v>BILLS — hurt@bills.pl</x:v>
      </x:c>
      <x:c r="W217" s="62" t="str">
        <x:v>Zweryfikować dane, produkty i status B2B przed kontaktem</x:v>
      </x:c>
      <x:c r="X217" s="81" t="str">
        <x:f>IF(C217&gt;=82,'Model scoringu'!$B$4,IF(C217&gt;=72,'Model scoringu'!$B$5,IF(C217&gt;=58,'Model scoringu'!$B$6,"")))</x:f>
      </x:c>
      <x:c r="Y217" s="62" t="str">
        <x:v>Kanał sąsiedni z bazą klientów zainteresowanych produktami nikotynowymi.</x:v>
      </x:c>
      <x:c r="Z217" s="62" t="str">
        <x:v>https://b2b-eliq.pl</x:v>
      </x:c>
      <x:c r="AA217" s="62" t="str">
        <x:v>€946 tys. rocznego przychodu</x:v>
      </x:c>
      <x:c r="AB217" s="50" t="n">
        <x:v>11</x:v>
      </x:c>
      <x:c r="AC217" s="50" t="n">
        <x:v>15</x:v>
      </x:c>
      <x:c r="AD217" s="50" t="n">
        <x:v>7</x:v>
      </x:c>
      <x:c r="AE217" s="50" t="n">
        <x:v>3</x:v>
      </x:c>
      <x:c r="AF217" s="50" t="n">
        <x:v>10</x:v>
      </x:c>
      <x:c r="AG217" s="50" t="n">
        <x:v>5</x:v>
      </x:c>
      <x:c r="AH217" s="57" t="n">
        <x:v>0</x:v>
      </x:c>
    </x:row>
    <x:row r="218" ht="34" customHeight="1">
      <x:c r="A218" s="87" t="n">
        <x:v>216</x:v>
      </x:c>
      <x:c r="B218" s="88" t="str">
        <x:f>IF(C218&gt;=82,"A"&amp;1&amp;" — kontakt natychmiast",IF(C218&gt;=72,"A"&amp;2&amp;" — kontakt w 7 dni",IF(C218&gt;=58,"B — kampania regionalna",IF(C218&gt;=42,"C — weryfikacja i nurturing","D — niski priorytet/wykluczyć"))))</x:f>
        <x:v>C — weryfikacja i nurturing</x:v>
      </x:c>
      <x:c r="C218" s="88" t="n">
        <x:f>MAX(0,MIN(100,SUM(AB218:AG218)-AH218))</x:f>
        <x:v>51</x:v>
      </x:c>
      <x:c r="D218" s="62" t="str">
        <x:v>Vape Drop</x:v>
      </x:c>
      <x:c r="E218" s="62" t="str">
        <x:v>Partner cross-sell / kanał sąsiedni</x:v>
      </x:c>
      <x:c r="F218" s="62" t="str">
        <x:v>S4 — Vape/e-papierosy</x:v>
      </x:c>
      <x:c r="G218" s="62" t="str">
        <x:v>Hurt ogólnopolski</x:v>
      </x:c>
      <x:c r="H218" s="62" t="str">
        <x:v>Nieustalony</x:v>
      </x:c>
      <x:c r="I218" s="62" t="str"/>
      <x:c r="J218" s="62" t="str">
        <x:v>Nieustalona</x:v>
      </x:c>
      <x:c r="K218" s="62" t="str"/>
      <x:c r="L218" s="62" t="str"/>
      <x:c r="M218" s="62" t="str"/>
      <x:c r="N218" s="62" t="str"/>
      <x:c r="O218" s="62" t="str"/>
      <x:c r="P218" s="62" t="str"/>
      <x:c r="Q218" s="62" t="str"/>
      <x:c r="R218" s="62" t="str"/>
      <x:c r="S218" s="62" t="str">
        <x:v>Vape</x:v>
      </x:c>
      <x:c r="T218" s="62" t="str">
        <x:f>IF(AND(K218&lt;&gt;"",L218&lt;&gt;"",O218&lt;&gt;""),"Pełny",IF(OR(K218&lt;&gt;"",L218&lt;&gt;""),"Częściowy","Brak bezpośredniego kontaktu"))</x:f>
        <x:v>Brak bezpośredniego kontaktu</x:v>
      </x:c>
      <x:c r="U218" s="62" t="str">
        <x:v>Nowy</x:v>
      </x:c>
      <x:c r="V218" s="62" t="str">
        <x:v>BILLS — hurt@bills.pl</x:v>
      </x:c>
      <x:c r="W218" s="62" t="str">
        <x:v>Zweryfikować dane, produkty i status B2B przed kontaktem</x:v>
      </x:c>
      <x:c r="X218" s="81" t="str">
        <x:f>IF(C218&gt;=82,'Model scoringu'!$B$4,IF(C218&gt;=72,'Model scoringu'!$B$5,IF(C218&gt;=58,'Model scoringu'!$B$6,"")))</x:f>
      </x:c>
      <x:c r="Y218" s="62" t="str">
        <x:v>Kanał sąsiedni z bazą klientów zainteresowanych produktami nikotynowymi; zasięg ponadregionalny.</x:v>
      </x:c>
      <x:c r="Z218" s="62" t="str"/>
      <x:c r="AA218" s="62" t="str">
        <x:v>103 mln zł rocznego przychodu, ogólnopolska</x:v>
      </x:c>
      <x:c r="AB218" s="50" t="n">
        <x:v>11</x:v>
      </x:c>
      <x:c r="AC218" s="50" t="n">
        <x:v>18</x:v>
      </x:c>
      <x:c r="AD218" s="50" t="n">
        <x:v>7</x:v>
      </x:c>
      <x:c r="AE218" s="50" t="n">
        <x:v>0</x:v>
      </x:c>
      <x:c r="AF218" s="50" t="n">
        <x:v>10</x:v>
      </x:c>
      <x:c r="AG218" s="50" t="n">
        <x:v>5</x:v>
      </x:c>
      <x:c r="AH218" s="57" t="n">
        <x:v>0</x:v>
      </x:c>
    </x:row>
    <x:row r="219" ht="34" customHeight="1">
      <x:c r="A219" s="87" t="n">
        <x:v>217</x:v>
      </x:c>
      <x:c r="B219" s="88" t="str">
        <x:f>IF(C219&gt;=82,"A"&amp;1&amp;" — kontakt natychmiast",IF(C219&gt;=72,"A"&amp;2&amp;" — kontakt w 7 dni",IF(C219&gt;=58,"B — kampania regionalna",IF(C219&gt;=42,"C — weryfikacja i nurturing","D — niski priorytet/wykluczyć"))))</x:f>
        <x:v>C — weryfikacja i nurturing</x:v>
      </x:c>
      <x:c r="C219" s="88" t="n">
        <x:f>MAX(0,MIN(100,SUM(AB219:AG219)-AH219))</x:f>
        <x:v>50</x:v>
      </x:c>
      <x:c r="D219" s="62" t="str">
        <x:v>Twojabletka</x:v>
      </x:c>
      <x:c r="E219" s="62" t="str">
        <x:v>Potencjalny reseller / odbiorca hurtowy</x:v>
      </x:c>
      <x:c r="F219" s="62" t="str">
        <x:v>S1 — RYO/MYO, gilzy i nabijarki</x:v>
      </x:c>
      <x:c r="G219" s="62" t="str">
        <x:v>Hurt B2B regionalny</x:v>
      </x:c>
      <x:c r="H219" s="62" t="str">
        <x:v>Nieustalony</x:v>
      </x:c>
      <x:c r="I219" s="62" t="str"/>
      <x:c r="J219" s="62" t="str">
        <x:v>Nieustalona</x:v>
      </x:c>
      <x:c r="K219" s="62" t="str">
        <x:v>przemek@twojabletka.pl</x:v>
      </x:c>
      <x:c r="L219" s="62" t="str">
        <x:v>164924462</x:v>
      </x:c>
      <x:c r="M219" s="62" t="str"/>
      <x:c r="N219" s="62" t="str"/>
      <x:c r="O219" s="62" t="str">
        <x:v>https://www.twojabletka.pl</x:v>
      </x:c>
      <x:c r="P219" s="62" t="str"/>
      <x:c r="Q219" s="62" t="str"/>
      <x:c r="R219" s="62" t="str"/>
      <x:c r="S219" s="62" t="str">
        <x:v>Bibułki &amp; Bletki | Gilzy &amp; Filtry</x:v>
      </x:c>
      <x:c r="T219" s="62" t="str">
        <x:f>IF(AND(K219&lt;&gt;"",L219&lt;&gt;"",O219&lt;&gt;""),"Pełny",IF(OR(K219&lt;&gt;"",L219&lt;&gt;""),"Częściowy","Brak bezpośredniego kontaktu"))</x:f>
        <x:v>Pełny</x:v>
      </x:c>
      <x:c r="U219" s="62" t="str">
        <x:v>Nowy</x:v>
      </x:c>
      <x:c r="V219" s="62" t="str">
        <x:v>BILLS — hurt@bills.pl</x:v>
      </x:c>
      <x:c r="W219" s="62" t="str">
        <x:v>Zweryfikować dane, produkty i status B2B przed kontaktem</x:v>
      </x:c>
      <x:c r="X219" s="81" t="str">
        <x:f>IF(C219&gt;=82,'Model scoringu'!$B$4,IF(C219&gt;=72,'Model scoringu'!$B$5,IF(C219&gt;=58,'Model scoringu'!$B$6,"")))</x:f>
      </x:c>
      <x:c r="Y219" s="62" t="str">
        <x:v>Bezpośrednie dopasowanie do ryo/myo, gilz lub nabijarek.</x:v>
      </x:c>
      <x:c r="Z219" s="62" t="str">
        <x:v>https://www.twojabletka.pl</x:v>
      </x:c>
      <x:c r="AA219" s="62" t="str">
        <x:v>Dodane z wyników wyszukiwania dla niszowych słów (Powermatic, Shisha, bletki). | Status źródłowy: Aktywny</x:v>
      </x:c>
      <x:c r="AB219" s="50" t="n">
        <x:v>30</x:v>
      </x:c>
      <x:c r="AC219" s="50" t="n">
        <x:v>15</x:v>
      </x:c>
      <x:c r="AD219" s="50" t="n">
        <x:v>7</x:v>
      </x:c>
      <x:c r="AE219" s="50" t="n">
        <x:v>13</x:v>
      </x:c>
      <x:c r="AF219" s="50" t="n">
        <x:v>8</x:v>
      </x:c>
      <x:c r="AG219" s="50" t="n">
        <x:v>7</x:v>
      </x:c>
      <x:c r="AH219" s="57" t="n">
        <x:v>30</x:v>
      </x:c>
    </x:row>
    <x:row r="220" ht="34" customHeight="1">
      <x:c r="A220" s="87" t="n">
        <x:v>218</x:v>
      </x:c>
      <x:c r="B220" s="88" t="str">
        <x:f>IF(C220&gt;=82,"A"&amp;1&amp;" — kontakt natychmiast",IF(C220&gt;=72,"A"&amp;2&amp;" — kontakt w 7 dni",IF(C220&gt;=58,"B — kampania regionalna",IF(C220&gt;=42,"C — weryfikacja i nurturing","D — niski priorytet/wykluczyć"))))</x:f>
        <x:v>C — weryfikacja i nurturing</x:v>
      </x:c>
      <x:c r="C220" s="88" t="n">
        <x:f>MAX(0,MIN(100,SUM(AB220:AG220)-AH220))</x:f>
        <x:v>50</x:v>
      </x:c>
      <x:c r="D220" s="62" t="str">
        <x:v>True Smoke</x:v>
      </x:c>
      <x:c r="E220" s="62" t="str">
        <x:v>Potencjalny reseller / odbiorca hurtowy</x:v>
      </x:c>
      <x:c r="F220" s="62" t="str">
        <x:v>S1 — RYO/MYO, gilzy i nabijarki</x:v>
      </x:c>
      <x:c r="G220" s="62" t="str">
        <x:v>Hurt B2B regionalny</x:v>
      </x:c>
      <x:c r="H220" s="62" t="str">
        <x:v>Nieustalony</x:v>
      </x:c>
      <x:c r="I220" s="62" t="str"/>
      <x:c r="J220" s="62" t="str">
        <x:v>Nieustalona</x:v>
      </x:c>
      <x:c r="K220" s="62" t="str">
        <x:v>info@truesmoke.com</x:v>
      </x:c>
      <x:c r="L220" s="62" t="str">
        <x:v>817583740</x:v>
      </x:c>
      <x:c r="M220" s="62" t="str"/>
      <x:c r="N220" s="62" t="str"/>
      <x:c r="O220" s="62" t="str">
        <x:v>https://www.true-smoke.com</x:v>
      </x:c>
      <x:c r="P220" s="62" t="str"/>
      <x:c r="Q220" s="62" t="str"/>
      <x:c r="R220" s="62" t="str"/>
      <x:c r="S220" s="62" t="str">
        <x:v>Akcesoria Tytoniowe | Vape &amp; E-papierosy</x:v>
      </x:c>
      <x:c r="T220" s="62" t="str">
        <x:f>IF(AND(K220&lt;&gt;"",L220&lt;&gt;"",O220&lt;&gt;""),"Pełny",IF(OR(K220&lt;&gt;"",L220&lt;&gt;""),"Częściowy","Brak bezpośredniego kontaktu"))</x:f>
        <x:v>Pełny</x:v>
      </x:c>
      <x:c r="U220" s="62" t="str">
        <x:v>Nowy</x:v>
      </x:c>
      <x:c r="V220" s="62" t="str">
        <x:v>BILLS — hurt@bills.pl</x:v>
      </x:c>
      <x:c r="W220" s="62" t="str">
        <x:v>Zweryfikować dane, produkty i status B2B przed kontaktem</x:v>
      </x:c>
      <x:c r="X220" s="81" t="str">
        <x:f>IF(C220&gt;=82,'Model scoringu'!$B$4,IF(C220&gt;=72,'Model scoringu'!$B$5,IF(C220&gt;=58,'Model scoringu'!$B$6,"")))</x:f>
      </x:c>
      <x:c r="Y220" s="62" t="str">
        <x:v>Bezpośrednie dopasowanie do ryo/myo, gilz lub nabijarek.</x:v>
      </x:c>
      <x:c r="Z220" s="62" t="str">
        <x:v>https://www.true-smoke.com</x:v>
      </x:c>
      <x:c r="AA220" s="62" t="str">
        <x:v>Dodane z wyników wyszukiwania dla niszowych słów (Powermatic, Shisha, bletki). | Status źródłowy: Aktywny</x:v>
      </x:c>
      <x:c r="AB220" s="50" t="n">
        <x:v>30</x:v>
      </x:c>
      <x:c r="AC220" s="50" t="n">
        <x:v>15</x:v>
      </x:c>
      <x:c r="AD220" s="50" t="n">
        <x:v>7</x:v>
      </x:c>
      <x:c r="AE220" s="50" t="n">
        <x:v>13</x:v>
      </x:c>
      <x:c r="AF220" s="50" t="n">
        <x:v>8</x:v>
      </x:c>
      <x:c r="AG220" s="50" t="n">
        <x:v>7</x:v>
      </x:c>
      <x:c r="AH220" s="57" t="n">
        <x:v>30</x:v>
      </x:c>
    </x:row>
    <x:row r="221" ht="34" customHeight="1">
      <x:c r="A221" s="87" t="n">
        <x:v>219</x:v>
      </x:c>
      <x:c r="B221" s="88" t="str">
        <x:f>IF(C221&gt;=82,"A"&amp;1&amp;" — kontakt natychmiast",IF(C221&gt;=72,"A"&amp;2&amp;" — kontakt w 7 dni",IF(C221&gt;=58,"B — kampania regionalna",IF(C221&gt;=42,"C — weryfikacja i nurturing","D — niski priorytet/wykluczyć"))))</x:f>
        <x:v>C — weryfikacja i nurturing</x:v>
      </x:c>
      <x:c r="C221" s="88" t="n">
        <x:f>MAX(0,MIN(100,SUM(AB221:AG221)-AH221))</x:f>
        <x:v>50</x:v>
      </x:c>
      <x:c r="D221" s="62" t="str">
        <x:v>Trafikanord</x:v>
      </x:c>
      <x:c r="E221" s="62" t="str">
        <x:v>Potencjalny reseller / odbiorca hurtowy</x:v>
      </x:c>
      <x:c r="F221" s="62" t="str">
        <x:v>S1 — RYO/MYO, gilzy i nabijarki</x:v>
      </x:c>
      <x:c r="G221" s="62" t="str">
        <x:v>Hurt B2B regionalny</x:v>
      </x:c>
      <x:c r="H221" s="62" t="str">
        <x:v>Nieustalony</x:v>
      </x:c>
      <x:c r="I221" s="62" t="str"/>
      <x:c r="J221" s="62" t="str">
        <x:v>Nieustalona</x:v>
      </x:c>
      <x:c r="K221" s="62" t="str">
        <x:v>sklep@trafikanord.pl</x:v>
      </x:c>
      <x:c r="L221" s="62" t="str">
        <x:v>178443691</x:v>
      </x:c>
      <x:c r="M221" s="62" t="str"/>
      <x:c r="N221" s="62" t="str"/>
      <x:c r="O221" s="62" t="str">
        <x:v>https://www.trafikanord.pl</x:v>
      </x:c>
      <x:c r="P221" s="62" t="str"/>
      <x:c r="Q221" s="62" t="str"/>
      <x:c r="R221" s="62" t="str"/>
      <x:c r="S221" s="62" t="str">
        <x:v>Bibułki &amp; Bletki | Nabijarki &amp; Zwijarki | Trafika</x:v>
      </x:c>
      <x:c r="T221" s="62" t="str">
        <x:f>IF(AND(K221&lt;&gt;"",L221&lt;&gt;"",O221&lt;&gt;""),"Pełny",IF(OR(K221&lt;&gt;"",L221&lt;&gt;""),"Częściowy","Brak bezpośredniego kontaktu"))</x:f>
        <x:v>Pełny</x:v>
      </x:c>
      <x:c r="U221" s="62" t="str">
        <x:v>Nowy</x:v>
      </x:c>
      <x:c r="V221" s="62" t="str">
        <x:v>BILLS — hurt@bills.pl</x:v>
      </x:c>
      <x:c r="W221" s="62" t="str">
        <x:v>Zweryfikować dane, produkty i status B2B przed kontaktem</x:v>
      </x:c>
      <x:c r="X221" s="81" t="str">
        <x:f>IF(C221&gt;=82,'Model scoringu'!$B$4,IF(C221&gt;=72,'Model scoringu'!$B$5,IF(C221&gt;=58,'Model scoringu'!$B$6,"")))</x:f>
      </x:c>
      <x:c r="Y221" s="62" t="str">
        <x:v>Bezpośrednie dopasowanie do ryo/myo, gilz lub nabijarek.</x:v>
      </x:c>
      <x:c r="Z221" s="62" t="str">
        <x:v>https://www.trafikanord.pl</x:v>
      </x:c>
      <x:c r="AA221" s="62" t="str">
        <x:v>Dodane na prośbę użytkownika z wyników wyszukiwania (maszynki do skręcania). | Status źródłowy: Aktywny</x:v>
      </x:c>
      <x:c r="AB221" s="50" t="n">
        <x:v>30</x:v>
      </x:c>
      <x:c r="AC221" s="50" t="n">
        <x:v>15</x:v>
      </x:c>
      <x:c r="AD221" s="50" t="n">
        <x:v>7</x:v>
      </x:c>
      <x:c r="AE221" s="50" t="n">
        <x:v>13</x:v>
      </x:c>
      <x:c r="AF221" s="50" t="n">
        <x:v>8</x:v>
      </x:c>
      <x:c r="AG221" s="50" t="n">
        <x:v>7</x:v>
      </x:c>
      <x:c r="AH221" s="57" t="n">
        <x:v>30</x:v>
      </x:c>
    </x:row>
    <x:row r="222" ht="34" customHeight="1">
      <x:c r="A222" s="87" t="n">
        <x:v>220</x:v>
      </x:c>
      <x:c r="B222" s="88" t="str">
        <x:f>IF(C222&gt;=82,"A"&amp;1&amp;" — kontakt natychmiast",IF(C222&gt;=72,"A"&amp;2&amp;" — kontakt w 7 dni",IF(C222&gt;=58,"B — kampania regionalna",IF(C222&gt;=42,"C — weryfikacja i nurturing","D — niski priorytet/wykluczyć"))))</x:f>
        <x:v>C — weryfikacja i nurturing</x:v>
      </x:c>
      <x:c r="C222" s="88" t="n">
        <x:f>MAX(0,MIN(100,SUM(AB222:AG222)-AH222))</x:f>
        <x:v>50</x:v>
      </x:c>
      <x:c r="D222" s="62" t="str">
        <x:v>Powermatic</x:v>
      </x:c>
      <x:c r="E222" s="62" t="str">
        <x:v>Potencjalny reseller / odbiorca hurtowy</x:v>
      </x:c>
      <x:c r="F222" s="62" t="str">
        <x:v>S1 — RYO/MYO, gilzy i nabijarki</x:v>
      </x:c>
      <x:c r="G222" s="62" t="str">
        <x:v>Hurt B2B regionalny</x:v>
      </x:c>
      <x:c r="H222" s="62" t="str">
        <x:v>Nieustalony</x:v>
      </x:c>
      <x:c r="I222" s="62" t="str"/>
      <x:c r="J222" s="62" t="str">
        <x:v>Nieustalona</x:v>
      </x:c>
      <x:c r="K222" s="62" t="str">
        <x:v>kontakt@armorica.pl</x:v>
      </x:c>
      <x:c r="L222" s="62" t="str">
        <x:v>141941672</x:v>
      </x:c>
      <x:c r="M222" s="62" t="str"/>
      <x:c r="N222" s="62" t="str"/>
      <x:c r="O222" s="62" t="str">
        <x:v>https://www.powermatic.store</x:v>
      </x:c>
      <x:c r="P222" s="62" t="str"/>
      <x:c r="Q222" s="62" t="str"/>
      <x:c r="R222" s="62" t="str"/>
      <x:c r="S222" s="62" t="str">
        <x:v>Nabijarki &amp; Zwijarki</x:v>
      </x:c>
      <x:c r="T222" s="62" t="str">
        <x:f>IF(AND(K222&lt;&gt;"",L222&lt;&gt;"",O222&lt;&gt;""),"Pełny",IF(OR(K222&lt;&gt;"",L222&lt;&gt;""),"Częściowy","Brak bezpośredniego kontaktu"))</x:f>
        <x:v>Pełny</x:v>
      </x:c>
      <x:c r="U222" s="62" t="str">
        <x:v>Nowy</x:v>
      </x:c>
      <x:c r="V222" s="62" t="str">
        <x:v>BILLS — hurt@bills.pl</x:v>
      </x:c>
      <x:c r="W222" s="62" t="str">
        <x:v>Zweryfikować dane, produkty i status B2B przed kontaktem</x:v>
      </x:c>
      <x:c r="X222" s="81" t="str">
        <x:f>IF(C222&gt;=82,'Model scoringu'!$B$4,IF(C222&gt;=72,'Model scoringu'!$B$5,IF(C222&gt;=58,'Model scoringu'!$B$6,"")))</x:f>
      </x:c>
      <x:c r="Y222" s="62" t="str">
        <x:v>Bezpośrednie dopasowanie do ryo/myo, gilz lub nabijarek.</x:v>
      </x:c>
      <x:c r="Z222" s="62" t="str">
        <x:v>https://www.powermatic.store</x:v>
      </x:c>
      <x:c r="AA222" s="62" t="str">
        <x:v>Dodane z wyników wyszukiwania dla niszowych słów (Powermatic, Shisha, bletki). | Status źródłowy: Aktywny</x:v>
      </x:c>
      <x:c r="AB222" s="50" t="n">
        <x:v>30</x:v>
      </x:c>
      <x:c r="AC222" s="50" t="n">
        <x:v>15</x:v>
      </x:c>
      <x:c r="AD222" s="50" t="n">
        <x:v>7</x:v>
      </x:c>
      <x:c r="AE222" s="50" t="n">
        <x:v>13</x:v>
      </x:c>
      <x:c r="AF222" s="50" t="n">
        <x:v>8</x:v>
      </x:c>
      <x:c r="AG222" s="50" t="n">
        <x:v>7</x:v>
      </x:c>
      <x:c r="AH222" s="57" t="n">
        <x:v>30</x:v>
      </x:c>
    </x:row>
    <x:row r="223" ht="34" customHeight="1">
      <x:c r="A223" s="87" t="n">
        <x:v>221</x:v>
      </x:c>
      <x:c r="B223" s="88" t="str">
        <x:f>IF(C223&gt;=82,"A"&amp;1&amp;" — kontakt natychmiast",IF(C223&gt;=72,"A"&amp;2&amp;" — kontakt w 7 dni",IF(C223&gt;=58,"B — kampania regionalna",IF(C223&gt;=42,"C — weryfikacja i nurturing","D — niski priorytet/wykluczyć"))))</x:f>
        <x:v>C — weryfikacja i nurturing</x:v>
      </x:c>
      <x:c r="C223" s="88" t="n">
        <x:f>MAX(0,MIN(100,SUM(AB223:AG223)-AH223))</x:f>
        <x:v>50</x:v>
      </x:c>
      <x:c r="D223" s="62" t="str">
        <x:v>Nabijarka</x:v>
      </x:c>
      <x:c r="E223" s="62" t="str">
        <x:v>Potencjalny reseller / odbiorca hurtowy</x:v>
      </x:c>
      <x:c r="F223" s="62" t="str">
        <x:v>S1 — RYO/MYO, gilzy i nabijarki</x:v>
      </x:c>
      <x:c r="G223" s="62" t="str">
        <x:v>Hurt B2B regionalny</x:v>
      </x:c>
      <x:c r="H223" s="62" t="str">
        <x:v>Nieustalony</x:v>
      </x:c>
      <x:c r="I223" s="62" t="str"/>
      <x:c r="J223" s="62" t="str">
        <x:v>Nieustalona</x:v>
      </x:c>
      <x:c r="K223" s="62" t="str">
        <x:v>biuro@prima-tech.pl</x:v>
      </x:c>
      <x:c r="L223" s="62" t="str">
        <x:v>+48 663 726 600</x:v>
      </x:c>
      <x:c r="M223" s="62" t="str"/>
      <x:c r="N223" s="62" t="str"/>
      <x:c r="O223" s="62" t="str">
        <x:v>https://www.nabijarka.pl</x:v>
      </x:c>
      <x:c r="P223" s="62" t="str"/>
      <x:c r="Q223" s="62" t="str"/>
      <x:c r="R223" s="62" t="str"/>
      <x:c r="S223" s="62" t="str">
        <x:v>Akcesoria Tytoniowe | Nabijarki &amp; Zwijarki</x:v>
      </x:c>
      <x:c r="T223" s="62" t="str">
        <x:f>IF(AND(K223&lt;&gt;"",L223&lt;&gt;"",O223&lt;&gt;""),"Pełny",IF(OR(K223&lt;&gt;"",L223&lt;&gt;""),"Częściowy","Brak bezpośredniego kontaktu"))</x:f>
        <x:v>Pełny</x:v>
      </x:c>
      <x:c r="U223" s="62" t="str">
        <x:v>Nowy</x:v>
      </x:c>
      <x:c r="V223" s="62" t="str">
        <x:v>BILLS — hurt@bills.pl</x:v>
      </x:c>
      <x:c r="W223" s="62" t="str">
        <x:v>Zweryfikować dane, produkty i status B2B przed kontaktem</x:v>
      </x:c>
      <x:c r="X223" s="81" t="str">
        <x:f>IF(C223&gt;=82,'Model scoringu'!$B$4,IF(C223&gt;=72,'Model scoringu'!$B$5,IF(C223&gt;=58,'Model scoringu'!$B$6,"")))</x:f>
      </x:c>
      <x:c r="Y223" s="62" t="str">
        <x:v>Bezpośrednie dopasowanie do ryo/myo, gilz lub nabijarek.</x:v>
      </x:c>
      <x:c r="Z223" s="62" t="str">
        <x:v>https://www.nabijarka.pl</x:v>
      </x:c>
      <x:c r="AA223" s="62" t="str">
        <x:v>Dodane na prośbę użytkownika z wyników wyszukiwania (maszynki do skręcania). | Status źródłowy: Aktywny</x:v>
      </x:c>
      <x:c r="AB223" s="50" t="n">
        <x:v>30</x:v>
      </x:c>
      <x:c r="AC223" s="50" t="n">
        <x:v>15</x:v>
      </x:c>
      <x:c r="AD223" s="50" t="n">
        <x:v>7</x:v>
      </x:c>
      <x:c r="AE223" s="50" t="n">
        <x:v>13</x:v>
      </x:c>
      <x:c r="AF223" s="50" t="n">
        <x:v>8</x:v>
      </x:c>
      <x:c r="AG223" s="50" t="n">
        <x:v>7</x:v>
      </x:c>
      <x:c r="AH223" s="57" t="n">
        <x:v>30</x:v>
      </x:c>
    </x:row>
    <x:row r="224" ht="34" customHeight="1">
      <x:c r="A224" s="87" t="n">
        <x:v>222</x:v>
      </x:c>
      <x:c r="B224" s="88" t="str">
        <x:f>IF(C224&gt;=82,"A"&amp;1&amp;" — kontakt natychmiast",IF(C224&gt;=72,"A"&amp;2&amp;" — kontakt w 7 dni",IF(C224&gt;=58,"B — kampania regionalna",IF(C224&gt;=42,"C — weryfikacja i nurturing","D — niski priorytet/wykluczyć"))))</x:f>
        <x:v>C — weryfikacja i nurturing</x:v>
      </x:c>
      <x:c r="C224" s="88" t="n">
        <x:f>MAX(0,MIN(100,SUM(AB224:AG224)-AH224))</x:f>
        <x:v>50</x:v>
      </x:c>
      <x:c r="D224" s="62" t="str">
        <x:v>Minesota</x:v>
      </x:c>
      <x:c r="E224" s="62" t="str">
        <x:v>Potencjalny reseller / odbiorca hurtowy</x:v>
      </x:c>
      <x:c r="F224" s="62" t="str">
        <x:v>S1 — RYO/MYO, gilzy i nabijarki</x:v>
      </x:c>
      <x:c r="G224" s="62" t="str">
        <x:v>Hurt B2B regionalny</x:v>
      </x:c>
      <x:c r="H224" s="62" t="str">
        <x:v>Nieustalony</x:v>
      </x:c>
      <x:c r="I224" s="62" t="str"/>
      <x:c r="J224" s="62" t="str">
        <x:v>Nieustalona</x:v>
      </x:c>
      <x:c r="K224" s="62" t="str">
        <x:v>l.pluta@minesota.eu</x:v>
      </x:c>
      <x:c r="L224" s="62" t="str">
        <x:v>164570187</x:v>
      </x:c>
      <x:c r="M224" s="62" t="str"/>
      <x:c r="N224" s="62" t="str"/>
      <x:c r="O224" s="62" t="str">
        <x:v>https://www.minesota.eu</x:v>
      </x:c>
      <x:c r="P224" s="62" t="str"/>
      <x:c r="Q224" s="62" t="str"/>
      <x:c r="R224" s="62" t="str"/>
      <x:c r="S224" s="62" t="str">
        <x:v>Bibułki &amp; Bletki | Gilzy &amp; Filtry</x:v>
      </x:c>
      <x:c r="T224" s="62" t="str">
        <x:f>IF(AND(K224&lt;&gt;"",L224&lt;&gt;"",O224&lt;&gt;""),"Pełny",IF(OR(K224&lt;&gt;"",L224&lt;&gt;""),"Częściowy","Brak bezpośredniego kontaktu"))</x:f>
        <x:v>Pełny</x:v>
      </x:c>
      <x:c r="U224" s="62" t="str">
        <x:v>Nowy</x:v>
      </x:c>
      <x:c r="V224" s="62" t="str">
        <x:v>BILLS — hurt@bills.pl</x:v>
      </x:c>
      <x:c r="W224" s="62" t="str">
        <x:v>Zweryfikować dane, produkty i status B2B przed kontaktem</x:v>
      </x:c>
      <x:c r="X224" s="81" t="str">
        <x:f>IF(C224&gt;=82,'Model scoringu'!$B$4,IF(C224&gt;=72,'Model scoringu'!$B$5,IF(C224&gt;=58,'Model scoringu'!$B$6,"")))</x:f>
      </x:c>
      <x:c r="Y224" s="62" t="str">
        <x:v>Bezpośrednie dopasowanie do ryo/myo, gilz lub nabijarek.</x:v>
      </x:c>
      <x:c r="Z224" s="62" t="str">
        <x:v>https://www.minesota.eu</x:v>
      </x:c>
      <x:c r="AA224" s="62" t="str">
        <x:v>Dodane z wyników wyszukiwania dla niszowych słów (Powermatic, Shisha, bletki). | Status źródłowy: Aktywny</x:v>
      </x:c>
      <x:c r="AB224" s="50" t="n">
        <x:v>30</x:v>
      </x:c>
      <x:c r="AC224" s="50" t="n">
        <x:v>15</x:v>
      </x:c>
      <x:c r="AD224" s="50" t="n">
        <x:v>7</x:v>
      </x:c>
      <x:c r="AE224" s="50" t="n">
        <x:v>13</x:v>
      </x:c>
      <x:c r="AF224" s="50" t="n">
        <x:v>8</x:v>
      </x:c>
      <x:c r="AG224" s="50" t="n">
        <x:v>7</x:v>
      </x:c>
      <x:c r="AH224" s="57" t="n">
        <x:v>30</x:v>
      </x:c>
    </x:row>
    <x:row r="225" ht="34" customHeight="1">
      <x:c r="A225" s="87" t="n">
        <x:v>223</x:v>
      </x:c>
      <x:c r="B225" s="88" t="str">
        <x:f>IF(C225&gt;=82,"A"&amp;1&amp;" — kontakt natychmiast",IF(C225&gt;=72,"A"&amp;2&amp;" — kontakt w 7 dni",IF(C225&gt;=58,"B — kampania regionalna",IF(C225&gt;=42,"C — weryfikacja i nurturing","D — niski priorytet/wykluczyć"))))</x:f>
        <x:v>C — weryfikacja i nurturing</x:v>
      </x:c>
      <x:c r="C225" s="88" t="n">
        <x:f>MAX(0,MIN(100,SUM(AB225:AG225)-AH225))</x:f>
        <x:v>50</x:v>
      </x:c>
      <x:c r="D225" s="62" t="str">
        <x:v>Intersmokerhurt</x:v>
      </x:c>
      <x:c r="E225" s="62" t="str">
        <x:v>Potencjalny reseller / odbiorca hurtowy</x:v>
      </x:c>
      <x:c r="F225" s="62" t="str">
        <x:v>S1 — RYO/MYO, gilzy i nabijarki</x:v>
      </x:c>
      <x:c r="G225" s="62" t="str">
        <x:v>Hurt B2B regionalny</x:v>
      </x:c>
      <x:c r="H225" s="62" t="str">
        <x:v>Nieustalony</x:v>
      </x:c>
      <x:c r="I225" s="62" t="str"/>
      <x:c r="J225" s="62" t="str">
        <x:v>Nieustalona</x:v>
      </x:c>
      <x:c r="K225" s="62" t="str">
        <x:v>kontakt@intersmokerhurt.pl</x:v>
      </x:c>
      <x:c r="L225" s="62" t="str">
        <x:v>154140039</x:v>
      </x:c>
      <x:c r="M225" s="62" t="str"/>
      <x:c r="N225" s="62" t="str"/>
      <x:c r="O225" s="62" t="str">
        <x:v>https://www.intersmokerhurt.pl</x:v>
      </x:c>
      <x:c r="P225" s="62" t="str"/>
      <x:c r="Q225" s="62" t="str">
        <x:v>5422935796</x:v>
      </x:c>
      <x:c r="R225" s="62" t="str"/>
      <x:c r="S225" s="62" t="str">
        <x:v>Vape &amp; E-papierosy</x:v>
      </x:c>
      <x:c r="T225" s="62" t="str">
        <x:f>IF(AND(K225&lt;&gt;"",L225&lt;&gt;"",O225&lt;&gt;""),"Pełny",IF(OR(K225&lt;&gt;"",L225&lt;&gt;""),"Częściowy","Brak bezpośredniego kontaktu"))</x:f>
        <x:v>Pełny</x:v>
      </x:c>
      <x:c r="U225" s="62" t="str">
        <x:v>Nowy</x:v>
      </x:c>
      <x:c r="V225" s="62" t="str">
        <x:v>BILLS — hurt@bills.pl</x:v>
      </x:c>
      <x:c r="W225" s="62" t="str">
        <x:v>Zweryfikować dane, produkty i status B2B przed kontaktem</x:v>
      </x:c>
      <x:c r="X225" s="81" t="str">
        <x:f>IF(C225&gt;=82,'Model scoringu'!$B$4,IF(C225&gt;=72,'Model scoringu'!$B$5,IF(C225&gt;=58,'Model scoringu'!$B$6,"")))</x:f>
      </x:c>
      <x:c r="Y225" s="62" t="str">
        <x:v>Bezpośrednie dopasowanie do ryo/myo, gilz lub nabijarek.</x:v>
      </x:c>
      <x:c r="Z225" s="62" t="str">
        <x:v>https://www.intersmokerhurt.pl</x:v>
      </x:c>
      <x:c r="AA225" s="62" t="str">
        <x:v>Dodane na prośbę użytkownika z wyników wyszukiwania (e-papierosy / nabijarki). | Status źródłowy: Aktywny</x:v>
      </x:c>
      <x:c r="AB225" s="50" t="n">
        <x:v>30</x:v>
      </x:c>
      <x:c r="AC225" s="50" t="n">
        <x:v>15</x:v>
      </x:c>
      <x:c r="AD225" s="50" t="n">
        <x:v>7</x:v>
      </x:c>
      <x:c r="AE225" s="50" t="n">
        <x:v>13</x:v>
      </x:c>
      <x:c r="AF225" s="50" t="n">
        <x:v>8</x:v>
      </x:c>
      <x:c r="AG225" s="50" t="n">
        <x:v>7</x:v>
      </x:c>
      <x:c r="AH225" s="57" t="n">
        <x:v>30</x:v>
      </x:c>
    </x:row>
    <x:row r="226" ht="34" customHeight="1">
      <x:c r="A226" s="87" t="n">
        <x:v>224</x:v>
      </x:c>
      <x:c r="B226" s="88" t="str">
        <x:f>IF(C226&gt;=82,"A"&amp;1&amp;" — kontakt natychmiast",IF(C226&gt;=72,"A"&amp;2&amp;" — kontakt w 7 dni",IF(C226&gt;=58,"B — kampania regionalna",IF(C226&gt;=42,"C — weryfikacja i nurturing","D — niski priorytet/wykluczyć"))))</x:f>
        <x:v>C — weryfikacja i nurturing</x:v>
      </x:c>
      <x:c r="C226" s="88" t="n">
        <x:f>MAX(0,MIN(100,SUM(AB226:AG226)-AH226))</x:f>
        <x:v>50</x:v>
      </x:c>
      <x:c r="D226" s="62" t="str">
        <x:v>Internetowa Hurtownia</x:v>
      </x:c>
      <x:c r="E226" s="62" t="str">
        <x:v>Potencjalny reseller / odbiorca hurtowy</x:v>
      </x:c>
      <x:c r="F226" s="62" t="str">
        <x:v>S1 — RYO/MYO, gilzy i nabijarki</x:v>
      </x:c>
      <x:c r="G226" s="62" t="str">
        <x:v>Hurt B2B regionalny</x:v>
      </x:c>
      <x:c r="H226" s="62" t="str">
        <x:v>Nieustalony</x:v>
      </x:c>
      <x:c r="I226" s="62" t="str"/>
      <x:c r="J226" s="62" t="str">
        <x:v>Nieustalona</x:v>
      </x:c>
      <x:c r="K226" s="62" t="str">
        <x:v>zamowienia@internetowa-hurtownia.pl</x:v>
      </x:c>
      <x:c r="L226" s="62" t="str">
        <x:v>177633312</x:v>
      </x:c>
      <x:c r="M226" s="62" t="str"/>
      <x:c r="N226" s="62" t="str"/>
      <x:c r="O226" s="62" t="str">
        <x:v>https://www.internetowa-hurtownia.pl</x:v>
      </x:c>
      <x:c r="P226" s="62" t="str"/>
      <x:c r="Q226" s="62" t="str"/>
      <x:c r="R226" s="62" t="str"/>
      <x:c r="S226" s="62" t="str">
        <x:v>Akcesoria Tytoniowe | Gilzy &amp; Filtry | Nabijarki &amp; Zwijarki</x:v>
      </x:c>
      <x:c r="T226" s="62" t="str">
        <x:f>IF(AND(K226&lt;&gt;"",L226&lt;&gt;"",O226&lt;&gt;""),"Pełny",IF(OR(K226&lt;&gt;"",L226&lt;&gt;""),"Częściowy","Brak bezpośredniego kontaktu"))</x:f>
        <x:v>Pełny</x:v>
      </x:c>
      <x:c r="U226" s="62" t="str">
        <x:v>Nowy</x:v>
      </x:c>
      <x:c r="V226" s="62" t="str">
        <x:v>BILLS — hurt@bills.pl</x:v>
      </x:c>
      <x:c r="W226" s="62" t="str">
        <x:v>Zweryfikować dane, produkty i status B2B przed kontaktem</x:v>
      </x:c>
      <x:c r="X226" s="81" t="str">
        <x:f>IF(C226&gt;=82,'Model scoringu'!$B$4,IF(C226&gt;=72,'Model scoringu'!$B$5,IF(C226&gt;=58,'Model scoringu'!$B$6,"")))</x:f>
      </x:c>
      <x:c r="Y226" s="62" t="str">
        <x:v>Bezpośrednie dopasowanie do ryo/myo, gilz lub nabijarek.</x:v>
      </x:c>
      <x:c r="Z226" s="62" t="str">
        <x:v>https://www.internetowa-hurtownia.pl</x:v>
      </x:c>
      <x:c r="AA226" s="62" t="str">
        <x:v>Dodane na prośbę użytkownika z wyników wyszukiwania (e-papierosy / nabijarki). | Status źródłowy: Aktywny</x:v>
      </x:c>
      <x:c r="AB226" s="50" t="n">
        <x:v>30</x:v>
      </x:c>
      <x:c r="AC226" s="50" t="n">
        <x:v>15</x:v>
      </x:c>
      <x:c r="AD226" s="50" t="n">
        <x:v>7</x:v>
      </x:c>
      <x:c r="AE226" s="50" t="n">
        <x:v>13</x:v>
      </x:c>
      <x:c r="AF226" s="50" t="n">
        <x:v>8</x:v>
      </x:c>
      <x:c r="AG226" s="50" t="n">
        <x:v>7</x:v>
      </x:c>
      <x:c r="AH226" s="57" t="n">
        <x:v>30</x:v>
      </x:c>
    </x:row>
    <x:row r="227" ht="34" customHeight="1">
      <x:c r="A227" s="87" t="n">
        <x:v>225</x:v>
      </x:c>
      <x:c r="B227" s="88" t="str">
        <x:f>IF(C227&gt;=82,"A"&amp;1&amp;" — kontakt natychmiast",IF(C227&gt;=72,"A"&amp;2&amp;" — kontakt w 7 dni",IF(C227&gt;=58,"B — kampania regionalna",IF(C227&gt;=42,"C — weryfikacja i nurturing","D — niski priorytet/wykluczyć"))))</x:f>
        <x:v>C — weryfikacja i nurturing</x:v>
      </x:c>
      <x:c r="C227" s="88" t="n">
        <x:f>MAX(0,MIN(100,SUM(AB227:AG227)-AH227))</x:f>
        <x:v>50</x:v>
      </x:c>
      <x:c r="D227" s="62" t="str">
        <x:v>Hurt Mix</x:v>
      </x:c>
      <x:c r="E227" s="62" t="str">
        <x:v>Potencjalny reseller / odbiorca hurtowy</x:v>
      </x:c>
      <x:c r="F227" s="62" t="str">
        <x:v>S1 — RYO/MYO, gilzy i nabijarki</x:v>
      </x:c>
      <x:c r="G227" s="62" t="str">
        <x:v>Hurt B2B regionalny</x:v>
      </x:c>
      <x:c r="H227" s="62" t="str">
        <x:v>Nieustalony</x:v>
      </x:c>
      <x:c r="I227" s="62" t="str"/>
      <x:c r="J227" s="62" t="str">
        <x:v>Nieustalona</x:v>
      </x:c>
      <x:c r="K227" s="62" t="str">
        <x:v>j@email.com</x:v>
      </x:c>
      <x:c r="L227" s="62" t="str">
        <x:v>175831442</x:v>
      </x:c>
      <x:c r="M227" s="62" t="str"/>
      <x:c r="N227" s="62" t="str"/>
      <x:c r="O227" s="62" t="str">
        <x:v>https://www.hurt-mix.com.pl</x:v>
      </x:c>
      <x:c r="P227" s="62" t="str"/>
      <x:c r="Q227" s="62" t="str"/>
      <x:c r="R227" s="62" t="str"/>
      <x:c r="S227" s="62" t="str">
        <x:v>Akcesoria Tytoniowe</x:v>
      </x:c>
      <x:c r="T227" s="62" t="str">
        <x:f>IF(AND(K227&lt;&gt;"",L227&lt;&gt;"",O227&lt;&gt;""),"Pełny",IF(OR(K227&lt;&gt;"",L227&lt;&gt;""),"Częściowy","Brak bezpośredniego kontaktu"))</x:f>
        <x:v>Pełny</x:v>
      </x:c>
      <x:c r="U227" s="62" t="str">
        <x:v>Nowy</x:v>
      </x:c>
      <x:c r="V227" s="62" t="str">
        <x:v>BILLS — hurt@bills.pl</x:v>
      </x:c>
      <x:c r="W227" s="62" t="str">
        <x:v>Zweryfikować dane, produkty i status B2B przed kontaktem</x:v>
      </x:c>
      <x:c r="X227" s="81" t="str">
        <x:f>IF(C227&gt;=82,'Model scoringu'!$B$4,IF(C227&gt;=72,'Model scoringu'!$B$5,IF(C227&gt;=58,'Model scoringu'!$B$6,"")))</x:f>
      </x:c>
      <x:c r="Y227" s="62" t="str">
        <x:v>Bezpośrednie dopasowanie do ryo/myo, gilz lub nabijarek.</x:v>
      </x:c>
      <x:c r="Z227" s="62" t="str">
        <x:v>https://www.hurt-mix.com.pl</x:v>
      </x:c>
      <x:c r="AA227" s="62" t="str">
        <x:v>Dodane na prośbę użytkownika z wyników wyszukiwania (e-papierosy / nabijarki). | Status źródłowy: Aktywny</x:v>
      </x:c>
      <x:c r="AB227" s="50" t="n">
        <x:v>30</x:v>
      </x:c>
      <x:c r="AC227" s="50" t="n">
        <x:v>15</x:v>
      </x:c>
      <x:c r="AD227" s="50" t="n">
        <x:v>7</x:v>
      </x:c>
      <x:c r="AE227" s="50" t="n">
        <x:v>13</x:v>
      </x:c>
      <x:c r="AF227" s="50" t="n">
        <x:v>8</x:v>
      </x:c>
      <x:c r="AG227" s="50" t="n">
        <x:v>7</x:v>
      </x:c>
      <x:c r="AH227" s="57" t="n">
        <x:v>30</x:v>
      </x:c>
    </x:row>
    <x:row r="228" ht="34" customHeight="1">
      <x:c r="A228" s="87" t="n">
        <x:v>226</x:v>
      </x:c>
      <x:c r="B228" s="88" t="str">
        <x:f>IF(C228&gt;=82,"A"&amp;1&amp;" — kontakt natychmiast",IF(C228&gt;=72,"A"&amp;2&amp;" — kontakt w 7 dni",IF(C228&gt;=58,"B — kampania regionalna",IF(C228&gt;=42,"C — weryfikacja i nurturing","D — niski priorytet/wykluczyć"))))</x:f>
        <x:v>C — weryfikacja i nurturing</x:v>
      </x:c>
      <x:c r="C228" s="88" t="n">
        <x:f>MAX(0,MIN(100,SUM(AB228:AG228)-AH228))</x:f>
        <x:v>50</x:v>
      </x:c>
      <x:c r="D228" s="62" t="str">
        <x:v>Gilzygama</x:v>
      </x:c>
      <x:c r="E228" s="62" t="str">
        <x:v>Potencjalny reseller / odbiorca hurtowy</x:v>
      </x:c>
      <x:c r="F228" s="62" t="str">
        <x:v>S1 — RYO/MYO, gilzy i nabijarki</x:v>
      </x:c>
      <x:c r="G228" s="62" t="str">
        <x:v>Hurt B2B regionalny</x:v>
      </x:c>
      <x:c r="H228" s="62" t="str">
        <x:v>Nieustalony</x:v>
      </x:c>
      <x:c r="I228" s="62" t="str"/>
      <x:c r="J228" s="62" t="str">
        <x:v>Nieustalona</x:v>
      </x:c>
      <x:c r="K228" s="62" t="str">
        <x:v>office.gama.plus@gmail.com</x:v>
      </x:c>
      <x:c r="L228" s="62" t="str">
        <x:v>283973595</x:v>
      </x:c>
      <x:c r="M228" s="62" t="str"/>
      <x:c r="N228" s="62" t="str"/>
      <x:c r="O228" s="62" t="str">
        <x:v>https://www.gilzygama.pl</x:v>
      </x:c>
      <x:c r="P228" s="62" t="str"/>
      <x:c r="Q228" s="62" t="str"/>
      <x:c r="R228" s="62" t="str"/>
      <x:c r="S228" s="62" t="str">
        <x:v>Bibułki &amp; Bletki | Gilzy &amp; Filtry</x:v>
      </x:c>
      <x:c r="T228" s="62" t="str">
        <x:f>IF(AND(K228&lt;&gt;"",L228&lt;&gt;"",O228&lt;&gt;""),"Pełny",IF(OR(K228&lt;&gt;"",L228&lt;&gt;""),"Częściowy","Brak bezpośredniego kontaktu"))</x:f>
        <x:v>Pełny</x:v>
      </x:c>
      <x:c r="U228" s="62" t="str">
        <x:v>Nowy</x:v>
      </x:c>
      <x:c r="V228" s="62" t="str">
        <x:v>BILLS — hurt@bills.pl</x:v>
      </x:c>
      <x:c r="W228" s="62" t="str">
        <x:v>Zweryfikować dane, produkty i status B2B przed kontaktem</x:v>
      </x:c>
      <x:c r="X228" s="81" t="str">
        <x:f>IF(C228&gt;=82,'Model scoringu'!$B$4,IF(C228&gt;=72,'Model scoringu'!$B$5,IF(C228&gt;=58,'Model scoringu'!$B$6,"")))</x:f>
      </x:c>
      <x:c r="Y228" s="62" t="str">
        <x:v>Bezpośrednie dopasowanie do ryo/myo, gilz lub nabijarek.</x:v>
      </x:c>
      <x:c r="Z228" s="62" t="str">
        <x:v>https://www.gilzygama.pl</x:v>
      </x:c>
      <x:c r="AA228" s="62" t="str">
        <x:v>Dodane z wyników wyszukiwania dla niszowych słów (Powermatic, Shisha, bletki). | Status źródłowy: Aktywny</x:v>
      </x:c>
      <x:c r="AB228" s="50" t="n">
        <x:v>30</x:v>
      </x:c>
      <x:c r="AC228" s="50" t="n">
        <x:v>15</x:v>
      </x:c>
      <x:c r="AD228" s="50" t="n">
        <x:v>7</x:v>
      </x:c>
      <x:c r="AE228" s="50" t="n">
        <x:v>13</x:v>
      </x:c>
      <x:c r="AF228" s="50" t="n">
        <x:v>8</x:v>
      </x:c>
      <x:c r="AG228" s="50" t="n">
        <x:v>7</x:v>
      </x:c>
      <x:c r="AH228" s="57" t="n">
        <x:v>30</x:v>
      </x:c>
    </x:row>
    <x:row r="229" ht="34" customHeight="1">
      <x:c r="A229" s="87" t="n">
        <x:v>227</x:v>
      </x:c>
      <x:c r="B229" s="88" t="str">
        <x:f>IF(C229&gt;=82,"A"&amp;1&amp;" — kontakt natychmiast",IF(C229&gt;=72,"A"&amp;2&amp;" — kontakt w 7 dni",IF(C229&gt;=58,"B — kampania regionalna",IF(C229&gt;=42,"C — weryfikacja i nurturing","D — niski priorytet/wykluczyć"))))</x:f>
        <x:v>C — weryfikacja i nurturing</x:v>
      </x:c>
      <x:c r="C229" s="88" t="n">
        <x:f>MAX(0,MIN(100,SUM(AB229:AG229)-AH229))</x:f>
        <x:v>50</x:v>
      </x:c>
      <x:c r="D229" s="62" t="str">
        <x:v>Epapierosy Hurt</x:v>
      </x:c>
      <x:c r="E229" s="62" t="str">
        <x:v>Potencjalny reseller / odbiorca hurtowy</x:v>
      </x:c>
      <x:c r="F229" s="62" t="str">
        <x:v>S1 — RYO/MYO, gilzy i nabijarki</x:v>
      </x:c>
      <x:c r="G229" s="62" t="str">
        <x:v>Hurt B2B regionalny</x:v>
      </x:c>
      <x:c r="H229" s="62" t="str">
        <x:v>Nieustalony</x:v>
      </x:c>
      <x:c r="I229" s="62" t="str"/>
      <x:c r="J229" s="62" t="str">
        <x:v>Nieustalona</x:v>
      </x:c>
      <x:c r="K229" s="62" t="str">
        <x:v>j@email.com</x:v>
      </x:c>
      <x:c r="L229" s="62" t="str">
        <x:v>177334242</x:v>
      </x:c>
      <x:c r="M229" s="62" t="str"/>
      <x:c r="N229" s="62" t="str"/>
      <x:c r="O229" s="62" t="str">
        <x:v>https://www.epapierosy-hurt.pl</x:v>
      </x:c>
      <x:c r="P229" s="62" t="str"/>
      <x:c r="Q229" s="62" t="str">
        <x:v>6312426137</x:v>
      </x:c>
      <x:c r="R229" s="62" t="str"/>
      <x:c r="S229" s="62" t="str">
        <x:v>Vape &amp; E-papierosy</x:v>
      </x:c>
      <x:c r="T229" s="62" t="str">
        <x:f>IF(AND(K229&lt;&gt;"",L229&lt;&gt;"",O229&lt;&gt;""),"Pełny",IF(OR(K229&lt;&gt;"",L229&lt;&gt;""),"Częściowy","Brak bezpośredniego kontaktu"))</x:f>
        <x:v>Pełny</x:v>
      </x:c>
      <x:c r="U229" s="62" t="str">
        <x:v>Nowy</x:v>
      </x:c>
      <x:c r="V229" s="62" t="str">
        <x:v>BILLS — hurt@bills.pl</x:v>
      </x:c>
      <x:c r="W229" s="62" t="str">
        <x:v>Zweryfikować dane, produkty i status B2B przed kontaktem</x:v>
      </x:c>
      <x:c r="X229" s="81" t="str">
        <x:f>IF(C229&gt;=82,'Model scoringu'!$B$4,IF(C229&gt;=72,'Model scoringu'!$B$5,IF(C229&gt;=58,'Model scoringu'!$B$6,"")))</x:f>
      </x:c>
      <x:c r="Y229" s="62" t="str">
        <x:v>Bezpośrednie dopasowanie do ryo/myo, gilz lub nabijarek.</x:v>
      </x:c>
      <x:c r="Z229" s="62" t="str">
        <x:v>https://www.epapierosy-hurt.pl</x:v>
      </x:c>
      <x:c r="AA229" s="62" t="str">
        <x:v>Dodane na prośbę użytkownika z wyników wyszukiwania (e-papierosy / nabijarki). | Status źródłowy: Aktywny</x:v>
      </x:c>
      <x:c r="AB229" s="50" t="n">
        <x:v>30</x:v>
      </x:c>
      <x:c r="AC229" s="50" t="n">
        <x:v>15</x:v>
      </x:c>
      <x:c r="AD229" s="50" t="n">
        <x:v>7</x:v>
      </x:c>
      <x:c r="AE229" s="50" t="n">
        <x:v>13</x:v>
      </x:c>
      <x:c r="AF229" s="50" t="n">
        <x:v>8</x:v>
      </x:c>
      <x:c r="AG229" s="50" t="n">
        <x:v>7</x:v>
      </x:c>
      <x:c r="AH229" s="57" t="n">
        <x:v>30</x:v>
      </x:c>
    </x:row>
    <x:row r="230" ht="34" customHeight="1">
      <x:c r="A230" s="87" t="n">
        <x:v>228</x:v>
      </x:c>
      <x:c r="B230" s="88" t="str">
        <x:f>IF(C230&gt;=82,"A"&amp;1&amp;" — kontakt natychmiast",IF(C230&gt;=72,"A"&amp;2&amp;" — kontakt w 7 dni",IF(C230&gt;=58,"B — kampania regionalna",IF(C230&gt;=42,"C — weryfikacja i nurturing","D — niski priorytet/wykluczyć"))))</x:f>
        <x:v>C — weryfikacja i nurturing</x:v>
      </x:c>
      <x:c r="C230" s="88" t="n">
        <x:f>MAX(0,MIN(100,SUM(AB230:AG230)-AH230))</x:f>
        <x:v>50</x:v>
      </x:c>
      <x:c r="D230" s="62" t="str">
        <x:v>E Enzo</x:v>
      </x:c>
      <x:c r="E230" s="62" t="str">
        <x:v>Potencjalny reseller / odbiorca hurtowy</x:v>
      </x:c>
      <x:c r="F230" s="62" t="str">
        <x:v>S1 — RYO/MYO, gilzy i nabijarki</x:v>
      </x:c>
      <x:c r="G230" s="62" t="str">
        <x:v>Hurt B2B regionalny</x:v>
      </x:c>
      <x:c r="H230" s="62" t="str">
        <x:v>Nieustalony</x:v>
      </x:c>
      <x:c r="I230" s="62" t="str"/>
      <x:c r="J230" s="62" t="str">
        <x:v>Nieustalona</x:v>
      </x:c>
      <x:c r="K230" s="62" t="str">
        <x:v>biuro@e-enzo.pl</x:v>
      </x:c>
      <x:c r="L230" s="62" t="str">
        <x:v>+48 515 205 569</x:v>
      </x:c>
      <x:c r="M230" s="62" t="str"/>
      <x:c r="N230" s="62" t="str"/>
      <x:c r="O230" s="62" t="str">
        <x:v>https://www.e-enzo.pl</x:v>
      </x:c>
      <x:c r="P230" s="62" t="str"/>
      <x:c r="Q230" s="62" t="str">
        <x:v>6722094396</x:v>
      </x:c>
      <x:c r="R230" s="62" t="str"/>
      <x:c r="S230" s="62" t="str">
        <x:v>Vape &amp; E-papierosy</x:v>
      </x:c>
      <x:c r="T230" s="62" t="str">
        <x:f>IF(AND(K230&lt;&gt;"",L230&lt;&gt;"",O230&lt;&gt;""),"Pełny",IF(OR(K230&lt;&gt;"",L230&lt;&gt;""),"Częściowy","Brak bezpośredniego kontaktu"))</x:f>
        <x:v>Pełny</x:v>
      </x:c>
      <x:c r="U230" s="62" t="str">
        <x:v>Nowy</x:v>
      </x:c>
      <x:c r="V230" s="62" t="str">
        <x:v>BILLS — hurt@bills.pl</x:v>
      </x:c>
      <x:c r="W230" s="62" t="str">
        <x:v>Zweryfikować dane, produkty i status B2B przed kontaktem</x:v>
      </x:c>
      <x:c r="X230" s="81" t="str">
        <x:f>IF(C230&gt;=82,'Model scoringu'!$B$4,IF(C230&gt;=72,'Model scoringu'!$B$5,IF(C230&gt;=58,'Model scoringu'!$B$6,"")))</x:f>
      </x:c>
      <x:c r="Y230" s="62" t="str">
        <x:v>Bezpośrednie dopasowanie do ryo/myo, gilz lub nabijarek.</x:v>
      </x:c>
      <x:c r="Z230" s="62" t="str">
        <x:v>https://www.e-enzo.pl</x:v>
      </x:c>
      <x:c r="AA230" s="62" t="str">
        <x:v>Dodane na prośbę użytkownika z wyników wyszukiwania (e-papierosy / nabijarki). | Status źródłowy: Aktywny</x:v>
      </x:c>
      <x:c r="AB230" s="50" t="n">
        <x:v>30</x:v>
      </x:c>
      <x:c r="AC230" s="50" t="n">
        <x:v>15</x:v>
      </x:c>
      <x:c r="AD230" s="50" t="n">
        <x:v>7</x:v>
      </x:c>
      <x:c r="AE230" s="50" t="n">
        <x:v>13</x:v>
      </x:c>
      <x:c r="AF230" s="50" t="n">
        <x:v>8</x:v>
      </x:c>
      <x:c r="AG230" s="50" t="n">
        <x:v>7</x:v>
      </x:c>
      <x:c r="AH230" s="57" t="n">
        <x:v>30</x:v>
      </x:c>
    </x:row>
    <x:row r="231" ht="34" customHeight="1">
      <x:c r="A231" s="87" t="n">
        <x:v>229</x:v>
      </x:c>
      <x:c r="B231" s="88" t="str">
        <x:f>IF(C231&gt;=82,"A"&amp;1&amp;" — kontakt natychmiast",IF(C231&gt;=72,"A"&amp;2&amp;" — kontakt w 7 dni",IF(C231&gt;=58,"B — kampania regionalna",IF(C231&gt;=42,"C — weryfikacja i nurturing","D — niski priorytet/wykluczyć"))))</x:f>
        <x:v>C — weryfikacja i nurturing</x:v>
      </x:c>
      <x:c r="C231" s="88" t="n">
        <x:f>MAX(0,MIN(100,SUM(AB231:AG231)-AH231))</x:f>
        <x:v>50</x:v>
      </x:c>
      <x:c r="D231" s="62" t="str">
        <x:v>Dym</x:v>
      </x:c>
      <x:c r="E231" s="62" t="str">
        <x:v>Potencjalny reseller / odbiorca hurtowy</x:v>
      </x:c>
      <x:c r="F231" s="62" t="str">
        <x:v>S1 — RYO/MYO, gilzy i nabijarki</x:v>
      </x:c>
      <x:c r="G231" s="62" t="str">
        <x:v>Hurt B2B regionalny</x:v>
      </x:c>
      <x:c r="H231" s="62" t="str">
        <x:v>Nieustalony</x:v>
      </x:c>
      <x:c r="I231" s="62" t="str"/>
      <x:c r="J231" s="62" t="str">
        <x:v>Nieustalona</x:v>
      </x:c>
      <x:c r="K231" s="62" t="str">
        <x:v>filter@pl.html</x:v>
      </x:c>
      <x:c r="L231" s="62" t="str">
        <x:v>178397622</x:v>
      </x:c>
      <x:c r="M231" s="62" t="str"/>
      <x:c r="N231" s="62" t="str"/>
      <x:c r="O231" s="62" t="str">
        <x:v>https://www.dym.pl</x:v>
      </x:c>
      <x:c r="P231" s="62" t="str"/>
      <x:c r="Q231" s="62" t="str">
        <x:v>5242751528</x:v>
      </x:c>
      <x:c r="R231" s="62" t="str"/>
      <x:c r="S231" s="62" t="str">
        <x:v>Akcesoria Tytoniowe | Nabijarki &amp; Zwijarki</x:v>
      </x:c>
      <x:c r="T231" s="62" t="str">
        <x:f>IF(AND(K231&lt;&gt;"",L231&lt;&gt;"",O231&lt;&gt;""),"Pełny",IF(OR(K231&lt;&gt;"",L231&lt;&gt;""),"Częściowy","Brak bezpośredniego kontaktu"))</x:f>
        <x:v>Pełny</x:v>
      </x:c>
      <x:c r="U231" s="62" t="str">
        <x:v>Nowy</x:v>
      </x:c>
      <x:c r="V231" s="62" t="str">
        <x:v>BILLS — hurt@bills.pl</x:v>
      </x:c>
      <x:c r="W231" s="62" t="str">
        <x:v>Zweryfikować dane, produkty i status B2B przed kontaktem</x:v>
      </x:c>
      <x:c r="X231" s="81" t="str">
        <x:f>IF(C231&gt;=82,'Model scoringu'!$B$4,IF(C231&gt;=72,'Model scoringu'!$B$5,IF(C231&gt;=58,'Model scoringu'!$B$6,"")))</x:f>
      </x:c>
      <x:c r="Y231" s="62" t="str">
        <x:v>Bezpośrednie dopasowanie do ryo/myo, gilz lub nabijarek.</x:v>
      </x:c>
      <x:c r="Z231" s="62" t="str">
        <x:v>https://www.dym.pl</x:v>
      </x:c>
      <x:c r="AA231" s="62" t="str">
        <x:v>Dodane na prośbę użytkownika z wyników wyszukiwania (maszynki do skręcania). | Status źródłowy: Aktywny</x:v>
      </x:c>
      <x:c r="AB231" s="50" t="n">
        <x:v>30</x:v>
      </x:c>
      <x:c r="AC231" s="50" t="n">
        <x:v>15</x:v>
      </x:c>
      <x:c r="AD231" s="50" t="n">
        <x:v>7</x:v>
      </x:c>
      <x:c r="AE231" s="50" t="n">
        <x:v>13</x:v>
      </x:c>
      <x:c r="AF231" s="50" t="n">
        <x:v>8</x:v>
      </x:c>
      <x:c r="AG231" s="50" t="n">
        <x:v>7</x:v>
      </x:c>
      <x:c r="AH231" s="57" t="n">
        <x:v>30</x:v>
      </x:c>
    </x:row>
    <x:row r="232" ht="34" customHeight="1">
      <x:c r="A232" s="87" t="n">
        <x:v>230</x:v>
      </x:c>
      <x:c r="B232" s="88" t="str">
        <x:f>IF(C232&gt;=82,"A"&amp;1&amp;" — kontakt natychmiast",IF(C232&gt;=72,"A"&amp;2&amp;" — kontakt w 7 dni",IF(C232&gt;=58,"B — kampania regionalna",IF(C232&gt;=42,"C — weryfikacja i nurturing","D — niski priorytet/wykluczyć"))))</x:f>
        <x:v>C — weryfikacja i nurturing</x:v>
      </x:c>
      <x:c r="C232" s="88" t="n">
        <x:f>MAX(0,MIN(100,SUM(AB232:AG232)-AH232))</x:f>
        <x:v>50</x:v>
      </x:c>
      <x:c r="D232" s="62" t="str">
        <x:v>Drkonopny</x:v>
      </x:c>
      <x:c r="E232" s="62" t="str">
        <x:v>Potencjalny reseller / odbiorca hurtowy</x:v>
      </x:c>
      <x:c r="F232" s="62" t="str">
        <x:v>S1 — RYO/MYO, gilzy i nabijarki</x:v>
      </x:c>
      <x:c r="G232" s="62" t="str">
        <x:v>Hurt B2B regionalny</x:v>
      </x:c>
      <x:c r="H232" s="62" t="str">
        <x:v>Nieustalony</x:v>
      </x:c>
      <x:c r="I232" s="62" t="str"/>
      <x:c r="J232" s="62" t="str">
        <x:v>Nieustalona</x:v>
      </x:c>
      <x:c r="K232" s="62" t="str">
        <x:v>biuro@drkonopny.pl</x:v>
      </x:c>
      <x:c r="L232" s="62" t="str">
        <x:v>162746852</x:v>
      </x:c>
      <x:c r="M232" s="62" t="str"/>
      <x:c r="N232" s="62" t="str"/>
      <x:c r="O232" s="62" t="str">
        <x:v>https://www.drkonopny.pl</x:v>
      </x:c>
      <x:c r="P232" s="62" t="str"/>
      <x:c r="Q232" s="62" t="str">
        <x:v>4990696800</x:v>
      </x:c>
      <x:c r="R232" s="62" t="str"/>
      <x:c r="S232" s="62" t="str">
        <x:v>Bibułki &amp; Bletki | CBD | Headshop (Bonga, Shisha)</x:v>
      </x:c>
      <x:c r="T232" s="62" t="str">
        <x:f>IF(AND(K232&lt;&gt;"",L232&lt;&gt;"",O232&lt;&gt;""),"Pełny",IF(OR(K232&lt;&gt;"",L232&lt;&gt;""),"Częściowy","Brak bezpośredniego kontaktu"))</x:f>
        <x:v>Pełny</x:v>
      </x:c>
      <x:c r="U232" s="62" t="str">
        <x:v>Nowy</x:v>
      </x:c>
      <x:c r="V232" s="62" t="str">
        <x:v>BILLS — hurt@bills.pl</x:v>
      </x:c>
      <x:c r="W232" s="62" t="str">
        <x:v>Zweryfikować dane, produkty i status B2B przed kontaktem</x:v>
      </x:c>
      <x:c r="X232" s="81" t="str">
        <x:f>IF(C232&gt;=82,'Model scoringu'!$B$4,IF(C232&gt;=72,'Model scoringu'!$B$5,IF(C232&gt;=58,'Model scoringu'!$B$6,"")))</x:f>
      </x:c>
      <x:c r="Y232" s="62" t="str">
        <x:v>Bezpośrednie dopasowanie do ryo/myo, gilz lub nabijarek.</x:v>
      </x:c>
      <x:c r="Z232" s="62" t="str">
        <x:v>https://www.drkonopny.pl</x:v>
      </x:c>
      <x:c r="AA232" s="62" t="str">
        <x:v>Dodane z wyników wyszukiwania dla niszowych słów (Powermatic, Shisha, bletki). | Status źródłowy: Aktywny</x:v>
      </x:c>
      <x:c r="AB232" s="50" t="n">
        <x:v>30</x:v>
      </x:c>
      <x:c r="AC232" s="50" t="n">
        <x:v>15</x:v>
      </x:c>
      <x:c r="AD232" s="50" t="n">
        <x:v>7</x:v>
      </x:c>
      <x:c r="AE232" s="50" t="n">
        <x:v>13</x:v>
      </x:c>
      <x:c r="AF232" s="50" t="n">
        <x:v>8</x:v>
      </x:c>
      <x:c r="AG232" s="50" t="n">
        <x:v>7</x:v>
      </x:c>
      <x:c r="AH232" s="57" t="n">
        <x:v>30</x:v>
      </x:c>
    </x:row>
    <x:row r="233" ht="34" customHeight="1">
      <x:c r="A233" s="87" t="n">
        <x:v>231</x:v>
      </x:c>
      <x:c r="B233" s="88" t="str">
        <x:f>IF(C233&gt;=82,"A"&amp;1&amp;" — kontakt natychmiast",IF(C233&gt;=72,"A"&amp;2&amp;" — kontakt w 7 dni",IF(C233&gt;=58,"B — kampania regionalna",IF(C233&gt;=42,"C — weryfikacja i nurturing","D — niski priorytet/wykluczyć"))))</x:f>
        <x:v>C — weryfikacja i nurturing</x:v>
      </x:c>
      <x:c r="C233" s="88" t="n">
        <x:f>MAX(0,MIN(100,SUM(AB233:AG233)-AH233))</x:f>
        <x:v>50</x:v>
      </x:c>
      <x:c r="D233" s="62" t="str">
        <x:v>Cybuchshisha</x:v>
      </x:c>
      <x:c r="E233" s="62" t="str">
        <x:v>Potencjalny reseller / odbiorca hurtowy</x:v>
      </x:c>
      <x:c r="F233" s="62" t="str">
        <x:v>S1 — RYO/MYO, gilzy i nabijarki</x:v>
      </x:c>
      <x:c r="G233" s="62" t="str">
        <x:v>Hurt B2B regionalny</x:v>
      </x:c>
      <x:c r="H233" s="62" t="str">
        <x:v>Nieustalony</x:v>
      </x:c>
      <x:c r="I233" s="62" t="str"/>
      <x:c r="J233" s="62" t="str">
        <x:v>Nieustalona</x:v>
      </x:c>
      <x:c r="K233" s="62" t="str">
        <x:v>sklep@cybuchshisha.pl</x:v>
      </x:c>
      <x:c r="L233" s="62" t="str">
        <x:v>178213104</x:v>
      </x:c>
      <x:c r="M233" s="62" t="str"/>
      <x:c r="N233" s="62" t="str"/>
      <x:c r="O233" s="62" t="str">
        <x:v>https://www.cybuchshisha.pl</x:v>
      </x:c>
      <x:c r="P233" s="62" t="str"/>
      <x:c r="Q233" s="62" t="str">
        <x:v>1132986837</x:v>
      </x:c>
      <x:c r="R233" s="62" t="str"/>
      <x:c r="S233" s="62" t="str">
        <x:v>Akcesoria Tytoniowe | Headshop (Bonga, Shisha)</x:v>
      </x:c>
      <x:c r="T233" s="62" t="str">
        <x:f>IF(AND(K233&lt;&gt;"",L233&lt;&gt;"",O233&lt;&gt;""),"Pełny",IF(OR(K233&lt;&gt;"",L233&lt;&gt;""),"Częściowy","Brak bezpośredniego kontaktu"))</x:f>
        <x:v>Pełny</x:v>
      </x:c>
      <x:c r="U233" s="62" t="str">
        <x:v>Nowy</x:v>
      </x:c>
      <x:c r="V233" s="62" t="str">
        <x:v>BILLS — hurt@bills.pl</x:v>
      </x:c>
      <x:c r="W233" s="62" t="str">
        <x:v>Zweryfikować dane, produkty i status B2B przed kontaktem</x:v>
      </x:c>
      <x:c r="X233" s="81" t="str">
        <x:f>IF(C233&gt;=82,'Model scoringu'!$B$4,IF(C233&gt;=72,'Model scoringu'!$B$5,IF(C233&gt;=58,'Model scoringu'!$B$6,"")))</x:f>
      </x:c>
      <x:c r="Y233" s="62" t="str">
        <x:v>Bezpośrednie dopasowanie do ryo/myo, gilz lub nabijarek.</x:v>
      </x:c>
      <x:c r="Z233" s="62" t="str">
        <x:v>https://www.cybuchshisha.pl</x:v>
      </x:c>
      <x:c r="AA233" s="62" t="str">
        <x:v>Dodane z wyników wyszukiwania dla niszowych słów (Powermatic, Shisha, bletki). | Status źródłowy: Aktywny</x:v>
      </x:c>
      <x:c r="AB233" s="50" t="n">
        <x:v>30</x:v>
      </x:c>
      <x:c r="AC233" s="50" t="n">
        <x:v>15</x:v>
      </x:c>
      <x:c r="AD233" s="50" t="n">
        <x:v>7</x:v>
      </x:c>
      <x:c r="AE233" s="50" t="n">
        <x:v>13</x:v>
      </x:c>
      <x:c r="AF233" s="50" t="n">
        <x:v>8</x:v>
      </x:c>
      <x:c r="AG233" s="50" t="n">
        <x:v>7</x:v>
      </x:c>
      <x:c r="AH233" s="57" t="n">
        <x:v>30</x:v>
      </x:c>
    </x:row>
    <x:row r="234" ht="34" customHeight="1">
      <x:c r="A234" s="87" t="n">
        <x:v>232</x:v>
      </x:c>
      <x:c r="B234" s="88" t="str">
        <x:f>IF(C234&gt;=82,"A"&amp;1&amp;" — kontakt natychmiast",IF(C234&gt;=72,"A"&amp;2&amp;" — kontakt w 7 dni",IF(C234&gt;=58,"B — kampania regionalna",IF(C234&gt;=42,"C — weryfikacja i nurturing","D — niski priorytet/wykluczyć"))))</x:f>
        <x:v>C — weryfikacja i nurturing</x:v>
      </x:c>
      <x:c r="C234" s="88" t="n">
        <x:f>MAX(0,MIN(100,SUM(AB234:AG234)-AH234))</x:f>
        <x:v>50</x:v>
      </x:c>
      <x:c r="D234" s="62" t="str">
        <x:v>Cloudshop</x:v>
      </x:c>
      <x:c r="E234" s="62" t="str">
        <x:v>Potencjalny reseller / odbiorca hurtowy</x:v>
      </x:c>
      <x:c r="F234" s="62" t="str">
        <x:v>S1 — RYO/MYO, gilzy i nabijarki</x:v>
      </x:c>
      <x:c r="G234" s="62" t="str">
        <x:v>Hurt B2B regionalny</x:v>
      </x:c>
      <x:c r="H234" s="62" t="str">
        <x:v>Nieustalony</x:v>
      </x:c>
      <x:c r="I234" s="62" t="str"/>
      <x:c r="J234" s="62" t="str">
        <x:v>Nieustalona</x:v>
      </x:c>
      <x:c r="K234" s="62" t="str">
        <x:v>biuro@cloudshop.pl</x:v>
      </x:c>
      <x:c r="L234" s="62" t="str">
        <x:v>157311162</x:v>
      </x:c>
      <x:c r="M234" s="62" t="str"/>
      <x:c r="N234" s="62" t="str"/>
      <x:c r="O234" s="62" t="str">
        <x:v>https://www.cloudshop.pl</x:v>
      </x:c>
      <x:c r="P234" s="62" t="str"/>
      <x:c r="Q234" s="62" t="str">
        <x:v>9571110560</x:v>
      </x:c>
      <x:c r="R234" s="62" t="str">
        <x:v>0000998700</x:v>
      </x:c>
      <x:c r="S234" s="62" t="str">
        <x:v>Vape &amp; E-papierosy</x:v>
      </x:c>
      <x:c r="T234" s="62" t="str">
        <x:f>IF(AND(K234&lt;&gt;"",L234&lt;&gt;"",O234&lt;&gt;""),"Pełny",IF(OR(K234&lt;&gt;"",L234&lt;&gt;""),"Częściowy","Brak bezpośredniego kontaktu"))</x:f>
        <x:v>Pełny</x:v>
      </x:c>
      <x:c r="U234" s="62" t="str">
        <x:v>Nowy</x:v>
      </x:c>
      <x:c r="V234" s="62" t="str">
        <x:v>BILLS — hurt@bills.pl</x:v>
      </x:c>
      <x:c r="W234" s="62" t="str">
        <x:v>Zweryfikować dane, produkty i status B2B przed kontaktem</x:v>
      </x:c>
      <x:c r="X234" s="81" t="str">
        <x:f>IF(C234&gt;=82,'Model scoringu'!$B$4,IF(C234&gt;=72,'Model scoringu'!$B$5,IF(C234&gt;=58,'Model scoringu'!$B$6,"")))</x:f>
      </x:c>
      <x:c r="Y234" s="62" t="str">
        <x:v>Bezpośrednie dopasowanie do ryo/myo, gilz lub nabijarek.</x:v>
      </x:c>
      <x:c r="Z234" s="62" t="str">
        <x:v>https://www.cloudshop.pl</x:v>
      </x:c>
      <x:c r="AA234" s="62" t="str">
        <x:v>Dodane na prośbę użytkownika z wyników wyszukiwania (e-papierosy / nabijarki). | Status źródłowy: Aktywny</x:v>
      </x:c>
      <x:c r="AB234" s="50" t="n">
        <x:v>30</x:v>
      </x:c>
      <x:c r="AC234" s="50" t="n">
        <x:v>15</x:v>
      </x:c>
      <x:c r="AD234" s="50" t="n">
        <x:v>7</x:v>
      </x:c>
      <x:c r="AE234" s="50" t="n">
        <x:v>13</x:v>
      </x:c>
      <x:c r="AF234" s="50" t="n">
        <x:v>8</x:v>
      </x:c>
      <x:c r="AG234" s="50" t="n">
        <x:v>7</x:v>
      </x:c>
      <x:c r="AH234" s="57" t="n">
        <x:v>30</x:v>
      </x:c>
    </x:row>
    <x:row r="235" ht="34" customHeight="1">
      <x:c r="A235" s="87" t="n">
        <x:v>233</x:v>
      </x:c>
      <x:c r="B235" s="88" t="str">
        <x:f>IF(C235&gt;=82,"A"&amp;1&amp;" — kontakt natychmiast",IF(C235&gt;=72,"A"&amp;2&amp;" — kontakt w 7 dni",IF(C235&gt;=58,"B — kampania regionalna",IF(C235&gt;=42,"C — weryfikacja i nurturing","D — niski priorytet/wykluczyć"))))</x:f>
        <x:v>C — weryfikacja i nurturing</x:v>
      </x:c>
      <x:c r="C235" s="88" t="n">
        <x:f>MAX(0,MIN(100,SUM(AB235:AG235)-AH235))</x:f>
        <x:v>50</x:v>
      </x:c>
      <x:c r="D235" s="62" t="str">
        <x:v>Bulut</x:v>
      </x:c>
      <x:c r="E235" s="62" t="str">
        <x:v>Potencjalny reseller / odbiorca hurtowy</x:v>
      </x:c>
      <x:c r="F235" s="62" t="str">
        <x:v>S1 — RYO/MYO, gilzy i nabijarki</x:v>
      </x:c>
      <x:c r="G235" s="62" t="str">
        <x:v>Hurt B2B regionalny</x:v>
      </x:c>
      <x:c r="H235" s="62" t="str">
        <x:v>Nieustalony</x:v>
      </x:c>
      <x:c r="I235" s="62" t="str"/>
      <x:c r="J235" s="62" t="str">
        <x:v>Nieustalona</x:v>
      </x:c>
      <x:c r="K235" s="62" t="str">
        <x:v>info@bulut.zone</x:v>
      </x:c>
      <x:c r="L235" s="62" t="str">
        <x:v>325058878</x:v>
      </x:c>
      <x:c r="M235" s="62" t="str"/>
      <x:c r="N235" s="62" t="str"/>
      <x:c r="O235" s="62" t="str">
        <x:v>https://www.bulut.zone</x:v>
      </x:c>
      <x:c r="P235" s="62" t="str"/>
      <x:c r="Q235" s="62" t="str">
        <x:v>7282844071</x:v>
      </x:c>
      <x:c r="R235" s="62" t="str">
        <x:v>0000835586</x:v>
      </x:c>
      <x:c r="S235" s="62" t="str">
        <x:v>Akcesoria Tytoniowe | Headshop (Bonga, Shisha)</x:v>
      </x:c>
      <x:c r="T235" s="62" t="str">
        <x:f>IF(AND(K235&lt;&gt;"",L235&lt;&gt;"",O235&lt;&gt;""),"Pełny",IF(OR(K235&lt;&gt;"",L235&lt;&gt;""),"Częściowy","Brak bezpośredniego kontaktu"))</x:f>
        <x:v>Pełny</x:v>
      </x:c>
      <x:c r="U235" s="62" t="str">
        <x:v>Nowy</x:v>
      </x:c>
      <x:c r="V235" s="62" t="str">
        <x:v>BILLS — hurt@bills.pl</x:v>
      </x:c>
      <x:c r="W235" s="62" t="str">
        <x:v>Zweryfikować dane, produkty i status B2B przed kontaktem</x:v>
      </x:c>
      <x:c r="X235" s="81" t="str">
        <x:f>IF(C235&gt;=82,'Model scoringu'!$B$4,IF(C235&gt;=72,'Model scoringu'!$B$5,IF(C235&gt;=58,'Model scoringu'!$B$6,"")))</x:f>
      </x:c>
      <x:c r="Y235" s="62" t="str">
        <x:v>Bezpośrednie dopasowanie do ryo/myo, gilz lub nabijarek.</x:v>
      </x:c>
      <x:c r="Z235" s="62" t="str">
        <x:v>https://www.bulut.zone</x:v>
      </x:c>
      <x:c r="AA235" s="62" t="str">
        <x:v>Dodane z wyników wyszukiwania dla niszowych słów (Powermatic, Shisha, bletki). | Status źródłowy: Aktywny</x:v>
      </x:c>
      <x:c r="AB235" s="50" t="n">
        <x:v>30</x:v>
      </x:c>
      <x:c r="AC235" s="50" t="n">
        <x:v>15</x:v>
      </x:c>
      <x:c r="AD235" s="50" t="n">
        <x:v>7</x:v>
      </x:c>
      <x:c r="AE235" s="50" t="n">
        <x:v>13</x:v>
      </x:c>
      <x:c r="AF235" s="50" t="n">
        <x:v>8</x:v>
      </x:c>
      <x:c r="AG235" s="50" t="n">
        <x:v>7</x:v>
      </x:c>
      <x:c r="AH235" s="57" t="n">
        <x:v>30</x:v>
      </x:c>
    </x:row>
    <x:row r="236" ht="34" customHeight="1">
      <x:c r="A236" s="87" t="n">
        <x:v>234</x:v>
      </x:c>
      <x:c r="B236" s="88" t="str">
        <x:f>IF(C236&gt;=82,"A"&amp;1&amp;" — kontakt natychmiast",IF(C236&gt;=72,"A"&amp;2&amp;" — kontakt w 7 dni",IF(C236&gt;=58,"B — kampania regionalna",IF(C236&gt;=42,"C — weryfikacja i nurturing","D — niski priorytet/wykluczyć"))))</x:f>
        <x:v>C — weryfikacja i nurturing</x:v>
      </x:c>
      <x:c r="C236" s="88" t="n">
        <x:f>MAX(0,MIN(100,SUM(AB236:AG236)-AH236))</x:f>
        <x:v>50</x:v>
      </x:c>
      <x:c r="D236" s="62" t="str">
        <x:v>Bielsin</x:v>
      </x:c>
      <x:c r="E236" s="62" t="str">
        <x:v>Potencjalny reseller / odbiorca hurtowy</x:v>
      </x:c>
      <x:c r="F236" s="62" t="str">
        <x:v>S1 — RYO/MYO, gilzy i nabijarki</x:v>
      </x:c>
      <x:c r="G236" s="62" t="str">
        <x:v>Hurt B2B regionalny</x:v>
      </x:c>
      <x:c r="H236" s="62" t="str">
        <x:v>Nieustalony</x:v>
      </x:c>
      <x:c r="I236" s="62" t="str"/>
      <x:c r="J236" s="62" t="str">
        <x:v>Nieustalona</x:v>
      </x:c>
      <x:c r="K236" s="62" t="str">
        <x:v>info@bielsin.pl</x:v>
      </x:c>
      <x:c r="L236" s="62" t="str">
        <x:v>242869739</x:v>
      </x:c>
      <x:c r="M236" s="62" t="str"/>
      <x:c r="N236" s="62" t="str"/>
      <x:c r="O236" s="62" t="str">
        <x:v>https://www.bielsin.pl</x:v>
      </x:c>
      <x:c r="P236" s="62" t="str"/>
      <x:c r="Q236" s="62" t="str">
        <x:v>5470083919</x:v>
      </x:c>
      <x:c r="R236" s="62" t="str">
        <x:v>0000115372</x:v>
      </x:c>
      <x:c r="S236" s="62" t="str">
        <x:v>Akcesoria Tytoniowe | Nabijarki &amp; Zwijarki</x:v>
      </x:c>
      <x:c r="T236" s="62" t="str">
        <x:f>IF(AND(K236&lt;&gt;"",L236&lt;&gt;"",O236&lt;&gt;""),"Pełny",IF(OR(K236&lt;&gt;"",L236&lt;&gt;""),"Częściowy","Brak bezpośredniego kontaktu"))</x:f>
        <x:v>Pełny</x:v>
      </x:c>
      <x:c r="U236" s="62" t="str">
        <x:v>Nowy</x:v>
      </x:c>
      <x:c r="V236" s="62" t="str">
        <x:v>BILLS — hurt@bills.pl</x:v>
      </x:c>
      <x:c r="W236" s="62" t="str">
        <x:v>Zweryfikować dane, produkty i status B2B przed kontaktem</x:v>
      </x:c>
      <x:c r="X236" s="81" t="str">
        <x:f>IF(C236&gt;=82,'Model scoringu'!$B$4,IF(C236&gt;=72,'Model scoringu'!$B$5,IF(C236&gt;=58,'Model scoringu'!$B$6,"")))</x:f>
      </x:c>
      <x:c r="Y236" s="62" t="str">
        <x:v>Bezpośrednie dopasowanie do ryo/myo, gilz lub nabijarek.</x:v>
      </x:c>
      <x:c r="Z236" s="62" t="str">
        <x:v>https://www.bielsin.pl</x:v>
      </x:c>
      <x:c r="AA236" s="62" t="str">
        <x:v>Dodane na prośbę użytkownika z wyników wyszukiwania (maszynki do skręcania). | Status źródłowy: Aktywny</x:v>
      </x:c>
      <x:c r="AB236" s="50" t="n">
        <x:v>30</x:v>
      </x:c>
      <x:c r="AC236" s="50" t="n">
        <x:v>15</x:v>
      </x:c>
      <x:c r="AD236" s="50" t="n">
        <x:v>7</x:v>
      </x:c>
      <x:c r="AE236" s="50" t="n">
        <x:v>13</x:v>
      </x:c>
      <x:c r="AF236" s="50" t="n">
        <x:v>8</x:v>
      </x:c>
      <x:c r="AG236" s="50" t="n">
        <x:v>7</x:v>
      </x:c>
      <x:c r="AH236" s="57" t="n">
        <x:v>30</x:v>
      </x:c>
    </x:row>
    <x:row r="237" ht="34" customHeight="1">
      <x:c r="A237" s="87" t="n">
        <x:v>235</x:v>
      </x:c>
      <x:c r="B237" s="88" t="str">
        <x:f>IF(C237&gt;=82,"A"&amp;1&amp;" — kontakt natychmiast",IF(C237&gt;=72,"A"&amp;2&amp;" — kontakt w 7 dni",IF(C237&gt;=58,"B — kampania regionalna",IF(C237&gt;=42,"C — weryfikacja i nurturing","D — niski priorytet/wykluczyć"))))</x:f>
        <x:v>C — weryfikacja i nurturing</x:v>
      </x:c>
      <x:c r="C237" s="88" t="n">
        <x:f>MAX(0,MIN(100,SUM(AB237:AG237)-AH237))</x:f>
        <x:v>50</x:v>
      </x:c>
      <x:c r="D237" s="62" t="str">
        <x:v>Atgdystrybucja</x:v>
      </x:c>
      <x:c r="E237" s="62" t="str">
        <x:v>Potencjalny reseller / odbiorca hurtowy</x:v>
      </x:c>
      <x:c r="F237" s="62" t="str">
        <x:v>S1 — RYO/MYO, gilzy i nabijarki</x:v>
      </x:c>
      <x:c r="G237" s="62" t="str">
        <x:v>Hurt B2B regionalny</x:v>
      </x:c>
      <x:c r="H237" s="62" t="str">
        <x:v>Nieustalony</x:v>
      </x:c>
      <x:c r="I237" s="62" t="str"/>
      <x:c r="J237" s="62" t="str">
        <x:v>Nieustalona</x:v>
      </x:c>
      <x:c r="K237" s="62" t="str">
        <x:v>atg.zamowienia@gmail.com</x:v>
      </x:c>
      <x:c r="L237" s="62" t="str">
        <x:v>749696972</x:v>
      </x:c>
      <x:c r="M237" s="62" t="str"/>
      <x:c r="N237" s="62" t="str"/>
      <x:c r="O237" s="62" t="str">
        <x:v>https://www.atgdystrybucja.pl</x:v>
      </x:c>
      <x:c r="P237" s="62" t="str"/>
      <x:c r="Q237" s="62" t="str">
        <x:v>5542718417</x:v>
      </x:c>
      <x:c r="R237" s="62" t="str"/>
      <x:c r="S237" s="62" t="str">
        <x:v>Akcesoria Tytoniowe | Nabijarki &amp; Zwijarki</x:v>
      </x:c>
      <x:c r="T237" s="62" t="str">
        <x:f>IF(AND(K237&lt;&gt;"",L237&lt;&gt;"",O237&lt;&gt;""),"Pełny",IF(OR(K237&lt;&gt;"",L237&lt;&gt;""),"Częściowy","Brak bezpośredniego kontaktu"))</x:f>
        <x:v>Pełny</x:v>
      </x:c>
      <x:c r="U237" s="62" t="str">
        <x:v>Nowy</x:v>
      </x:c>
      <x:c r="V237" s="62" t="str">
        <x:v>BILLS — hurt@bills.pl</x:v>
      </x:c>
      <x:c r="W237" s="62" t="str">
        <x:v>Zweryfikować dane, produkty i status B2B przed kontaktem</x:v>
      </x:c>
      <x:c r="X237" s="81" t="str">
        <x:f>IF(C237&gt;=82,'Model scoringu'!$B$4,IF(C237&gt;=72,'Model scoringu'!$B$5,IF(C237&gt;=58,'Model scoringu'!$B$6,"")))</x:f>
      </x:c>
      <x:c r="Y237" s="62" t="str">
        <x:v>Bezpośrednie dopasowanie do ryo/myo, gilz lub nabijarek.</x:v>
      </x:c>
      <x:c r="Z237" s="62" t="str">
        <x:v>https://www.atgdystrybucja.pl</x:v>
      </x:c>
      <x:c r="AA237" s="62" t="str">
        <x:v>Dodane na prośbę użytkownika z wyników wyszukiwania (maszynki do skręcania). | Status źródłowy: Aktywny</x:v>
      </x:c>
      <x:c r="AB237" s="50" t="n">
        <x:v>30</x:v>
      </x:c>
      <x:c r="AC237" s="50" t="n">
        <x:v>15</x:v>
      </x:c>
      <x:c r="AD237" s="50" t="n">
        <x:v>7</x:v>
      </x:c>
      <x:c r="AE237" s="50" t="n">
        <x:v>13</x:v>
      </x:c>
      <x:c r="AF237" s="50" t="n">
        <x:v>8</x:v>
      </x:c>
      <x:c r="AG237" s="50" t="n">
        <x:v>7</x:v>
      </x:c>
      <x:c r="AH237" s="57" t="n">
        <x:v>30</x:v>
      </x:c>
    </x:row>
    <x:row r="238" ht="34" customHeight="1">
      <x:c r="A238" s="87" t="n">
        <x:v>236</x:v>
      </x:c>
      <x:c r="B238" s="88" t="str">
        <x:f>IF(C238&gt;=82,"A"&amp;1&amp;" — kontakt natychmiast",IF(C238&gt;=72,"A"&amp;2&amp;" — kontakt w 7 dni",IF(C238&gt;=58,"B — kampania regionalna",IF(C238&gt;=42,"C — weryfikacja i nurturing","D — niski priorytet/wykluczyć"))))</x:f>
        <x:v>C — weryfikacja i nurturing</x:v>
      </x:c>
      <x:c r="C238" s="88" t="n">
        <x:f>MAX(0,MIN(100,SUM(AB238:AG238)-AH238))</x:f>
        <x:v>50</x:v>
      </x:c>
      <x:c r="D238" s="62" t="str">
        <x:v>PHU Mars</x:v>
      </x:c>
      <x:c r="E238" s="62" t="str">
        <x:v>Partner cross-sell / kanał sąsiedni</x:v>
      </x:c>
      <x:c r="F238" s="62" t="str">
        <x:v>S4 — Vape/e-papierosy</x:v>
      </x:c>
      <x:c r="G238" s="62" t="str">
        <x:v>Hurt B2B regionalny</x:v>
      </x:c>
      <x:c r="H238" s="62" t="str">
        <x:v>Dolnośląskie</x:v>
      </x:c>
      <x:c r="I238" s="62" t="str">
        <x:v>Lubin</x:v>
      </x:c>
      <x:c r="J238" s="62" t="str">
        <x:v>Średni</x:v>
      </x:c>
      <x:c r="K238" s="62" t="str"/>
      <x:c r="L238" s="62" t="str"/>
      <x:c r="M238" s="62" t="str"/>
      <x:c r="N238" s="62" t="str"/>
      <x:c r="O238" s="62" t="str">
        <x:v>https://mars.lubin.pl</x:v>
      </x:c>
      <x:c r="P238" s="62" t="str">
        <x:v>Mielec, Polska</x:v>
      </x:c>
      <x:c r="Q238" s="62" t="str"/>
      <x:c r="R238" s="62" t="str"/>
      <x:c r="S238" s="62" t="str">
        <x:v>FMCG | Papierosy | Tytoń | Akcesoria | Tytoń | Vape</x:v>
      </x:c>
      <x:c r="T238" s="62" t="str">
        <x:f>IF(AND(K238&lt;&gt;"",L238&lt;&gt;"",O238&lt;&gt;""),"Pełny",IF(OR(K238&lt;&gt;"",L238&lt;&gt;""),"Częściowy","Brak bezpośredniego kontaktu"))</x:f>
        <x:v>Brak bezpośredniego kontaktu</x:v>
      </x:c>
      <x:c r="U238" s="62" t="str">
        <x:v>Nowy</x:v>
      </x:c>
      <x:c r="V238" s="62" t="str">
        <x:v>BILLS — hurt@bills.pl</x:v>
      </x:c>
      <x:c r="W238" s="62" t="str">
        <x:v>Zweryfikować dane, produkty i status B2B przed kontaktem</x:v>
      </x:c>
      <x:c r="X238" s="81" t="str">
        <x:f>IF(C238&gt;=82,'Model scoringu'!$B$4,IF(C238&gt;=72,'Model scoringu'!$B$5,IF(C238&gt;=58,'Model scoringu'!$B$6,"")))</x:f>
      </x:c>
      <x:c r="Y238" s="62" t="str">
        <x:v>Kanał sąsiedni z bazą klientów zainteresowanych produktami nikotynowymi.</x:v>
      </x:c>
      <x:c r="Z238" s="62" t="str">
        <x:v>https://mars.lubin.pl</x:v>
      </x:c>
      <x:c r="AA238" s="62" t="str">
        <x:v>Nie potwierdzone</x:v>
      </x:c>
      <x:c r="AB238" s="50" t="n">
        <x:v>11</x:v>
      </x:c>
      <x:c r="AC238" s="50" t="n">
        <x:v>15</x:v>
      </x:c>
      <x:c r="AD238" s="50" t="n">
        <x:v>11</x:v>
      </x:c>
      <x:c r="AE238" s="50" t="n">
        <x:v>5</x:v>
      </x:c>
      <x:c r="AF238" s="50" t="n">
        <x:v>8</x:v>
      </x:c>
      <x:c r="AG238" s="50" t="n">
        <x:v>5</x:v>
      </x:c>
      <x:c r="AH238" s="57" t="n">
        <x:v>5</x:v>
      </x:c>
    </x:row>
    <x:row r="239" ht="34" customHeight="1">
      <x:c r="A239" s="87" t="n">
        <x:v>237</x:v>
      </x:c>
      <x:c r="B239" s="88" t="str">
        <x:f>IF(C239&gt;=82,"A"&amp;1&amp;" — kontakt natychmiast",IF(C239&gt;=72,"A"&amp;2&amp;" — kontakt w 7 dni",IF(C239&gt;=58,"B — kampania regionalna",IF(C239&gt;=42,"C — weryfikacja i nurturing","D — niski priorytet/wykluczyć"))))</x:f>
        <x:v>C — weryfikacja i nurturing</x:v>
      </x:c>
      <x:c r="C239" s="88" t="n">
        <x:f>MAX(0,MIN(100,SUM(AB239:AG239)-AH239))</x:f>
        <x:v>50</x:v>
      </x:c>
      <x:c r="D239" s="62" t="str">
        <x:v>EDDcom</x:v>
      </x:c>
      <x:c r="E239" s="62" t="str">
        <x:v>Sprzedawca detaliczny/e-commerce</x:v>
      </x:c>
      <x:c r="F239" s="62" t="str">
        <x:v>S6 — Retail/e-commerce</x:v>
      </x:c>
      <x:c r="G239" s="62" t="str">
        <x:v>Hurt B2B + detal</x:v>
      </x:c>
      <x:c r="H239" s="62" t="str">
        <x:v>Nieustalony</x:v>
      </x:c>
      <x:c r="I239" s="62" t="str"/>
      <x:c r="J239" s="62" t="str">
        <x:v>Nieustalona</x:v>
      </x:c>
      <x:c r="K239" s="62" t="str"/>
      <x:c r="L239" s="62" t="str"/>
      <x:c r="M239" s="62" t="str"/>
      <x:c r="N239" s="62" t="str"/>
      <x:c r="O239" s="62" t="str">
        <x:v>https://eddcom.pl</x:v>
      </x:c>
      <x:c r="P239" s="62" t="str">
        <x:v>Poland</x:v>
      </x:c>
      <x:c r="Q239" s="62" t="str"/>
      <x:c r="R239" s="62" t="str"/>
      <x:c r="S239" s="62" t="str">
        <x:v>Elektronika | Różne</x:v>
      </x:c>
      <x:c r="T239" s="62" t="str">
        <x:f>IF(AND(K239&lt;&gt;"",L239&lt;&gt;"",O239&lt;&gt;""),"Pełny",IF(OR(K239&lt;&gt;"",L239&lt;&gt;""),"Częściowy","Brak bezpośredniego kontaktu"))</x:f>
        <x:v>Brak bezpośredniego kontaktu</x:v>
      </x:c>
      <x:c r="U239" s="62" t="str">
        <x:v>Nowy</x:v>
      </x:c>
      <x:c r="V239" s="62" t="str">
        <x:v>BILLS — hurt@bills.pl</x:v>
      </x:c>
      <x:c r="W239" s="62" t="str">
        <x:v>Zweryfikować dane, produkty i status B2B przed kontaktem</x:v>
      </x:c>
      <x:c r="X239" s="81" t="str">
        <x:f>IF(C239&gt;=82,'Model scoringu'!$B$4,IF(C239&gt;=72,'Model scoringu'!$B$5,IF(C239&gt;=58,'Model scoringu'!$B$6,"")))</x:f>
      </x:c>
      <x:c r="Y239" s="62" t="str">
        <x:v>Możliwość szybkiego testu sprzedaży internetowej.</x:v>
      </x:c>
      <x:c r="Z239" s="62" t="str">
        <x:v>https://eddcom.pl</x:v>
      </x:c>
      <x:c r="AA239" s="62" t="str">
        <x:v>Status źródłowy: Aktywny</x:v>
      </x:c>
      <x:c r="AB239" s="50" t="n">
        <x:v>8</x:v>
      </x:c>
      <x:c r="AC239" s="50" t="n">
        <x:v>15</x:v>
      </x:c>
      <x:c r="AD239" s="50" t="n">
        <x:v>7</x:v>
      </x:c>
      <x:c r="AE239" s="50" t="n">
        <x:v>5</x:v>
      </x:c>
      <x:c r="AF239" s="50" t="n">
        <x:v>8</x:v>
      </x:c>
      <x:c r="AG239" s="50" t="n">
        <x:v>7</x:v>
      </x:c>
      <x:c r="AH239" s="57" t="n">
        <x:v>0</x:v>
      </x:c>
    </x:row>
    <x:row r="240" ht="34" customHeight="1">
      <x:c r="A240" s="87" t="n">
        <x:v>238</x:v>
      </x:c>
      <x:c r="B240" s="88" t="str">
        <x:f>IF(C240&gt;=82,"A"&amp;1&amp;" — kontakt natychmiast",IF(C240&gt;=72,"A"&amp;2&amp;" — kontakt w 7 dni",IF(C240&gt;=58,"B — kampania regionalna",IF(C240&gt;=42,"C — weryfikacja i nurturing","D — niski priorytet/wykluczyć"))))</x:f>
        <x:v>C — weryfikacja i nurturing</x:v>
      </x:c>
      <x:c r="C240" s="88" t="n">
        <x:f>MAX(0,MIN(100,SUM(AB240:AG240)-AH240))</x:f>
        <x:v>49</x:v>
      </x:c>
      <x:c r="D240" s="62" t="str">
        <x:v>eSmoking World / CHIC Sp. z o.o. Sp.k.</x:v>
      </x:c>
      <x:c r="E240" s="62" t="str">
        <x:v>Partner strategiczny / producent</x:v>
      </x:c>
      <x:c r="F240" s="62" t="str">
        <x:v>S4 — Vape/e-papierosy</x:v>
      </x:c>
      <x:c r="G240" s="62" t="str">
        <x:v>Producent</x:v>
      </x:c>
      <x:c r="H240" s="62" t="str">
        <x:v>Opolskie</x:v>
      </x:c>
      <x:c r="I240" s="62" t="str">
        <x:v>Ostrzeszów</x:v>
      </x:c>
      <x:c r="J240" s="62" t="str">
        <x:v>Nieustalona</x:v>
      </x:c>
      <x:c r="K240" s="62" t="str"/>
      <x:c r="L240" s="62" t="str">
        <x:v>+48 62 738 88 88</x:v>
      </x:c>
      <x:c r="M240" s="62" t="str"/>
      <x:c r="N240" s="62" t="str"/>
      <x:c r="O240" s="62" t="str">
        <x:v>https://www.esmokingworld.com/pl</x:v>
      </x:c>
      <x:c r="P240" s="62" t="str">
        <x:v>al. Wojska Polskiego 23c, 63-500 Ostrzeszów</x:v>
      </x:c>
      <x:c r="Q240" s="62" t="str">
        <x:v>9721147850</x:v>
      </x:c>
      <x:c r="R240" s="62" t="str">
        <x:v>0000908623</x:v>
      </x:c>
      <x:c r="S240" s="62" t="str">
        <x:v>Sieć sklepów | Vape</x:v>
      </x:c>
      <x:c r="T240" s="62" t="str">
        <x:f>IF(AND(K240&lt;&gt;"",L240&lt;&gt;"",O240&lt;&gt;""),"Pełny",IF(OR(K240&lt;&gt;"",L240&lt;&gt;""),"Częściowy","Brak bezpośredniego kontaktu"))</x:f>
        <x:v>Częściowy</x:v>
      </x:c>
      <x:c r="U240" s="62" t="str">
        <x:v>Nowy</x:v>
      </x:c>
      <x:c r="V240" s="62" t="str">
        <x:v>BILLS — hurt@bills.pl</x:v>
      </x:c>
      <x:c r="W240" s="62" t="str">
        <x:v>Zweryfikować dane, produkty i status B2B przed kontaktem</x:v>
      </x:c>
      <x:c r="X240" s="81" t="str">
        <x:f>IF(C240&gt;=82,'Model scoringu'!$B$4,IF(C240&gt;=72,'Model scoringu'!$B$5,IF(C240&gt;=58,'Model scoringu'!$B$6,"")))</x:f>
      </x:c>
      <x:c r="Y240" s="62" t="str">
        <x:v>Kanał sąsiedni z bazą klientów zainteresowanych produktami nikotynowymi.</x:v>
      </x:c>
      <x:c r="Z240" s="62" t="str">
        <x:v>https://www.esmokingworld.com/pl</x:v>
      </x:c>
      <x:c r="AA240" s="62" t="str">
        <x:v>400 punktów w 200 miastach, fabryka i centrum R&amp;D w Ostrzeszowie</x:v>
      </x:c>
      <x:c r="AB240" s="50" t="n">
        <x:v>11</x:v>
      </x:c>
      <x:c r="AC240" s="50" t="n">
        <x:v>7</x:v>
      </x:c>
      <x:c r="AD240" s="50" t="n">
        <x:v>7</x:v>
      </x:c>
      <x:c r="AE240" s="50" t="n">
        <x:v>9</x:v>
      </x:c>
      <x:c r="AF240" s="50" t="n">
        <x:v>10</x:v>
      </x:c>
      <x:c r="AG240" s="50" t="n">
        <x:v>5</x:v>
      </x:c>
      <x:c r="AH240" s="57" t="n">
        <x:v>0</x:v>
      </x:c>
    </x:row>
    <x:row r="241" ht="34" customHeight="1">
      <x:c r="A241" s="87" t="n">
        <x:v>239</x:v>
      </x:c>
      <x:c r="B241" s="88" t="str">
        <x:f>IF(C241&gt;=82,"A"&amp;1&amp;" — kontakt natychmiast",IF(C241&gt;=72,"A"&amp;2&amp;" — kontakt w 7 dni",IF(C241&gt;=58,"B — kampania regionalna",IF(C241&gt;=42,"C — weryfikacja i nurturing","D — niski priorytet/wykluczyć"))))</x:f>
        <x:v>C — weryfikacja i nurturing</x:v>
      </x:c>
      <x:c r="C241" s="88" t="n">
        <x:f>MAX(0,MIN(100,SUM(AB241:AG241)-AH241))</x:f>
        <x:v>48</x:v>
      </x:c>
      <x:c r="D241" s="62" t="str">
        <x:v>JUKA</x:v>
      </x:c>
      <x:c r="E241" s="62" t="str">
        <x:v>Partner cross-sell / kanał sąsiedni</x:v>
      </x:c>
      <x:c r="F241" s="62" t="str">
        <x:v>S4 — Vape/e-papierosy</x:v>
      </x:c>
      <x:c r="G241" s="62" t="str">
        <x:v>Hurt B2B regionalny</x:v>
      </x:c>
      <x:c r="H241" s="62" t="str">
        <x:v>Nieustalony</x:v>
      </x:c>
      <x:c r="I241" s="62" t="str"/>
      <x:c r="J241" s="62" t="str">
        <x:v>Nieustalona</x:v>
      </x:c>
      <x:c r="K241" s="62" t="str"/>
      <x:c r="L241" s="62" t="str"/>
      <x:c r="M241" s="62" t="str"/>
      <x:c r="N241" s="62" t="str"/>
      <x:c r="O241" s="62" t="str"/>
      <x:c r="P241" s="62" t="str"/>
      <x:c r="Q241" s="62" t="str"/>
      <x:c r="R241" s="62" t="str"/>
      <x:c r="S241" s="62" t="str">
        <x:v>Akcesoria | Vape</x:v>
      </x:c>
      <x:c r="T241" s="62" t="str">
        <x:f>IF(AND(K241&lt;&gt;"",L241&lt;&gt;"",O241&lt;&gt;""),"Pełny",IF(OR(K241&lt;&gt;"",L241&lt;&gt;""),"Częściowy","Brak bezpośredniego kontaktu"))</x:f>
        <x:v>Brak bezpośredniego kontaktu</x:v>
      </x:c>
      <x:c r="U241" s="62" t="str">
        <x:v>Nowy</x:v>
      </x:c>
      <x:c r="V241" s="62" t="str">
        <x:v>BILLS — hurt@bills.pl</x:v>
      </x:c>
      <x:c r="W241" s="62" t="str">
        <x:v>Zweryfikować dane, produkty i status B2B przed kontaktem</x:v>
      </x:c>
      <x:c r="X241" s="81" t="str">
        <x:f>IF(C241&gt;=82,'Model scoringu'!$B$4,IF(C241&gt;=72,'Model scoringu'!$B$5,IF(C241&gt;=58,'Model scoringu'!$B$6,"")))</x:f>
      </x:c>
      <x:c r="Y241" s="62" t="str">
        <x:v>Kanał sąsiedni z bazą klientów zainteresowanych produktami nikotynowymi.</x:v>
      </x:c>
      <x:c r="Z241" s="62" t="str"/>
      <x:c r="AA241" s="62" t="str">
        <x:v>Z listy BISTA i top 10 vape hurtowni PL</x:v>
      </x:c>
      <x:c r="AB241" s="50" t="n">
        <x:v>11</x:v>
      </x:c>
      <x:c r="AC241" s="50" t="n">
        <x:v>15</x:v>
      </x:c>
      <x:c r="AD241" s="50" t="n">
        <x:v>7</x:v>
      </x:c>
      <x:c r="AE241" s="50" t="n">
        <x:v>0</x:v>
      </x:c>
      <x:c r="AF241" s="50" t="n">
        <x:v>10</x:v>
      </x:c>
      <x:c r="AG241" s="50" t="n">
        <x:v>5</x:v>
      </x:c>
      <x:c r="AH241" s="57" t="n">
        <x:v>0</x:v>
      </x:c>
    </x:row>
    <x:row r="242" ht="34" customHeight="1">
      <x:c r="A242" s="87" t="n">
        <x:v>240</x:v>
      </x:c>
      <x:c r="B242" s="88" t="str">
        <x:f>IF(C242&gt;=82,"A"&amp;1&amp;" — kontakt natychmiast",IF(C242&gt;=72,"A"&amp;2&amp;" — kontakt w 7 dni",IF(C242&gt;=58,"B — kampania regionalna",IF(C242&gt;=42,"C — weryfikacja i nurturing","D — niski priorytet/wykluczyć"))))</x:f>
        <x:v>C — weryfikacja i nurturing</x:v>
      </x:c>
      <x:c r="C242" s="88" t="n">
        <x:f>MAX(0,MIN(100,SUM(AB242:AG242)-AH242))</x:f>
        <x:v>48</x:v>
      </x:c>
      <x:c r="D242" s="62" t="str">
        <x:v>Arlgroup</x:v>
      </x:c>
      <x:c r="E242" s="62" t="str">
        <x:v>Partner cross-sell / kanał sąsiedni</x:v>
      </x:c>
      <x:c r="F242" s="62" t="str">
        <x:v>S4 — Vape/e-papierosy</x:v>
      </x:c>
      <x:c r="G242" s="62" t="str">
        <x:v>Hurt B2B regionalny</x:v>
      </x:c>
      <x:c r="H242" s="62" t="str">
        <x:v>Nieustalony</x:v>
      </x:c>
      <x:c r="I242" s="62" t="str"/>
      <x:c r="J242" s="62" t="str">
        <x:v>Nieustalona</x:v>
      </x:c>
      <x:c r="K242" s="62" t="str"/>
      <x:c r="L242" s="62" t="str"/>
      <x:c r="M242" s="62" t="str"/>
      <x:c r="N242" s="62" t="str"/>
      <x:c r="O242" s="62" t="str"/>
      <x:c r="P242" s="62" t="str"/>
      <x:c r="Q242" s="62" t="str"/>
      <x:c r="R242" s="62" t="str"/>
      <x:c r="S242" s="62" t="str">
        <x:v>Vape</x:v>
      </x:c>
      <x:c r="T242" s="62" t="str">
        <x:f>IF(AND(K242&lt;&gt;"",L242&lt;&gt;"",O242&lt;&gt;""),"Pełny",IF(OR(K242&lt;&gt;"",L242&lt;&gt;""),"Częściowy","Brak bezpośredniego kontaktu"))</x:f>
        <x:v>Brak bezpośredniego kontaktu</x:v>
      </x:c>
      <x:c r="U242" s="62" t="str">
        <x:v>Nowy</x:v>
      </x:c>
      <x:c r="V242" s="62" t="str">
        <x:v>BILLS — hurt@bills.pl</x:v>
      </x:c>
      <x:c r="W242" s="62" t="str">
        <x:v>Zweryfikować dane, produkty i status B2B przed kontaktem</x:v>
      </x:c>
      <x:c r="X242" s="81" t="str">
        <x:f>IF(C242&gt;=82,'Model scoringu'!$B$4,IF(C242&gt;=72,'Model scoringu'!$B$5,IF(C242&gt;=58,'Model scoringu'!$B$6,"")))</x:f>
      </x:c>
      <x:c r="Y242" s="62" t="str">
        <x:v>Kanał sąsiedni z bazą klientów zainteresowanych produktami nikotynowymi.</x:v>
      </x:c>
      <x:c r="Z242" s="62" t="str"/>
      <x:c r="AA242" s="62" t="str">
        <x:v>Z listy top 10 vape hurtowni PL</x:v>
      </x:c>
      <x:c r="AB242" s="50" t="n">
        <x:v>11</x:v>
      </x:c>
      <x:c r="AC242" s="50" t="n">
        <x:v>15</x:v>
      </x:c>
      <x:c r="AD242" s="50" t="n">
        <x:v>7</x:v>
      </x:c>
      <x:c r="AE242" s="50" t="n">
        <x:v>0</x:v>
      </x:c>
      <x:c r="AF242" s="50" t="n">
        <x:v>10</x:v>
      </x:c>
      <x:c r="AG242" s="50" t="n">
        <x:v>5</x:v>
      </x:c>
      <x:c r="AH242" s="57" t="n">
        <x:v>0</x:v>
      </x:c>
    </x:row>
    <x:row r="243" ht="34" customHeight="1">
      <x:c r="A243" s="87" t="n">
        <x:v>241</x:v>
      </x:c>
      <x:c r="B243" s="88" t="str">
        <x:f>IF(C243&gt;=82,"A"&amp;1&amp;" — kontakt natychmiast",IF(C243&gt;=72,"A"&amp;2&amp;" — kontakt w 7 dni",IF(C243&gt;=58,"B — kampania regionalna",IF(C243&gt;=42,"C — weryfikacja i nurturing","D — niski priorytet/wykluczyć"))))</x:f>
        <x:v>C — weryfikacja i nurturing</x:v>
      </x:c>
      <x:c r="C243" s="88" t="n">
        <x:f>MAX(0,MIN(100,SUM(AB243:AG243)-AH243))</x:f>
        <x:v>48</x:v>
      </x:c>
      <x:c r="D243" s="62" t="str">
        <x:v>ATG</x:v>
      </x:c>
      <x:c r="E243" s="62" t="str">
        <x:v>Partner cross-sell / kanał sąsiedni</x:v>
      </x:c>
      <x:c r="F243" s="62" t="str">
        <x:v>S4 — Vape/e-papierosy</x:v>
      </x:c>
      <x:c r="G243" s="62" t="str">
        <x:v>Hurt B2B regionalny</x:v>
      </x:c>
      <x:c r="H243" s="62" t="str">
        <x:v>Nieustalony</x:v>
      </x:c>
      <x:c r="I243" s="62" t="str"/>
      <x:c r="J243" s="62" t="str">
        <x:v>Nieustalona</x:v>
      </x:c>
      <x:c r="K243" s="62" t="str"/>
      <x:c r="L243" s="62" t="str"/>
      <x:c r="M243" s="62" t="str"/>
      <x:c r="N243" s="62" t="str"/>
      <x:c r="O243" s="62" t="str"/>
      <x:c r="P243" s="62" t="str"/>
      <x:c r="Q243" s="62" t="str"/>
      <x:c r="R243" s="62" t="str"/>
      <x:c r="S243" s="62" t="str">
        <x:v>Vape</x:v>
      </x:c>
      <x:c r="T243" s="62" t="str">
        <x:f>IF(AND(K243&lt;&gt;"",L243&lt;&gt;"",O243&lt;&gt;""),"Pełny",IF(OR(K243&lt;&gt;"",L243&lt;&gt;""),"Częściowy","Brak bezpośredniego kontaktu"))</x:f>
        <x:v>Brak bezpośredniego kontaktu</x:v>
      </x:c>
      <x:c r="U243" s="62" t="str">
        <x:v>Nowy</x:v>
      </x:c>
      <x:c r="V243" s="62" t="str">
        <x:v>BILLS — hurt@bills.pl</x:v>
      </x:c>
      <x:c r="W243" s="62" t="str">
        <x:v>Zweryfikować dane, produkty i status B2B przed kontaktem</x:v>
      </x:c>
      <x:c r="X243" s="81" t="str">
        <x:f>IF(C243&gt;=82,'Model scoringu'!$B$4,IF(C243&gt;=72,'Model scoringu'!$B$5,IF(C243&gt;=58,'Model scoringu'!$B$6,"")))</x:f>
      </x:c>
      <x:c r="Y243" s="62" t="str">
        <x:v>Kanał sąsiedni z bazą klientów zainteresowanych produktami nikotynowymi.</x:v>
      </x:c>
      <x:c r="Z243" s="62" t="str"/>
      <x:c r="AA243" s="62" t="str">
        <x:v>Z listy top 10 vape hurtowni PL</x:v>
      </x:c>
      <x:c r="AB243" s="50" t="n">
        <x:v>11</x:v>
      </x:c>
      <x:c r="AC243" s="50" t="n">
        <x:v>15</x:v>
      </x:c>
      <x:c r="AD243" s="50" t="n">
        <x:v>7</x:v>
      </x:c>
      <x:c r="AE243" s="50" t="n">
        <x:v>0</x:v>
      </x:c>
      <x:c r="AF243" s="50" t="n">
        <x:v>10</x:v>
      </x:c>
      <x:c r="AG243" s="50" t="n">
        <x:v>5</x:v>
      </x:c>
      <x:c r="AH243" s="57" t="n">
        <x:v>0</x:v>
      </x:c>
    </x:row>
    <x:row r="244" ht="34" customHeight="1">
      <x:c r="A244" s="87" t="n">
        <x:v>242</x:v>
      </x:c>
      <x:c r="B244" s="88" t="str">
        <x:f>IF(C244&gt;=82,"A"&amp;1&amp;" — kontakt natychmiast",IF(C244&gt;=72,"A"&amp;2&amp;" — kontakt w 7 dni",IF(C244&gt;=58,"B — kampania regionalna",IF(C244&gt;=42,"C — weryfikacja i nurturing","D — niski priorytet/wykluczyć"))))</x:f>
        <x:v>C — weryfikacja i nurturing</x:v>
      </x:c>
      <x:c r="C244" s="88" t="n">
        <x:f>MAX(0,MIN(100,SUM(AB244:AG244)-AH244))</x:f>
        <x:v>46</x:v>
      </x:c>
      <x:c r="D244" s="62" t="str">
        <x:v>Tobacco Corner / ELITE Edyta Stefanek</x:v>
      </x:c>
      <x:c r="E244" s="62" t="str">
        <x:v>Sprzedawca detaliczny/e-commerce</x:v>
      </x:c>
      <x:c r="F244" s="62" t="str">
        <x:v>S6 — Retail/e-commerce</x:v>
      </x:c>
      <x:c r="G244" s="62" t="str">
        <x:v>Detal/e-commerce</x:v>
      </x:c>
      <x:c r="H244" s="62" t="str">
        <x:v>Śląskie</x:v>
      </x:c>
      <x:c r="I244" s="62" t="str">
        <x:v>Katowice</x:v>
      </x:c>
      <x:c r="J244" s="62" t="str">
        <x:v>Nieustalona</x:v>
      </x:c>
      <x:c r="K244" s="62" t="str"/>
      <x:c r="L244" s="62" t="str">
        <x:v>+48 600 432 108</x:v>
      </x:c>
      <x:c r="M244" s="62" t="str"/>
      <x:c r="N244" s="62" t="str"/>
      <x:c r="O244" s="62" t="str">
        <x:v>https://www.tobaccocorner.pl</x:v>
      </x:c>
      <x:c r="P244" s="62" t="str">
        <x:v>ul. Mariacka 37, 40-014 Katowice</x:v>
      </x:c>
      <x:c r="Q244" s="62" t="str">
        <x:v>6252115510</x:v>
      </x:c>
      <x:c r="R244" s="62" t="str"/>
      <x:c r="S244" s="62" t="str"/>
      <x:c r="T244" s="62" t="str">
        <x:f>IF(AND(K244&lt;&gt;"",L244&lt;&gt;"",O244&lt;&gt;""),"Pełny",IF(OR(K244&lt;&gt;"",L244&lt;&gt;""),"Częściowy","Brak bezpośredniego kontaktu"))</x:f>
        <x:v>Częściowy</x:v>
      </x:c>
      <x:c r="U244" s="62" t="str">
        <x:v>Nowy</x:v>
      </x:c>
      <x:c r="V244" s="62" t="str">
        <x:v>BILLS — hurt@bills.pl</x:v>
      </x:c>
      <x:c r="W244" s="62" t="str">
        <x:v>Zweryfikować dane, produkty i status B2B przed kontaktem</x:v>
      </x:c>
      <x:c r="X244" s="81" t="str">
        <x:f>IF(C244&gt;=82,'Model scoringu'!$B$4,IF(C244&gt;=72,'Model scoringu'!$B$5,IF(C244&gt;=58,'Model scoringu'!$B$6,"")))</x:f>
      </x:c>
      <x:c r="Y244" s="62" t="str">
        <x:v>Możliwość szybkiego testu sprzedaży internetowej.</x:v>
      </x:c>
      <x:c r="Z244" s="62" t="str">
        <x:v>https://www.tobaccocorner.pl</x:v>
      </x:c>
      <x:c r="AA244" s="62" t="str"/>
      <x:c r="AB244" s="50" t="n">
        <x:v>8</x:v>
      </x:c>
      <x:c r="AC244" s="50" t="n">
        <x:v>7</x:v>
      </x:c>
      <x:c r="AD244" s="50" t="n">
        <x:v>7</x:v>
      </x:c>
      <x:c r="AE244" s="50" t="n">
        <x:v>9</x:v>
      </x:c>
      <x:c r="AF244" s="50" t="n">
        <x:v>10</x:v>
      </x:c>
      <x:c r="AG244" s="50" t="n">
        <x:v>5</x:v>
      </x:c>
      <x:c r="AH244" s="57" t="n">
        <x:v>0</x:v>
      </x:c>
    </x:row>
    <x:row r="245" ht="34" customHeight="1">
      <x:c r="A245" s="87" t="n">
        <x:v>243</x:v>
      </x:c>
      <x:c r="B245" s="88" t="str">
        <x:f>IF(C245&gt;=82,"A"&amp;1&amp;" — kontakt natychmiast",IF(C245&gt;=72,"A"&amp;2&amp;" — kontakt w 7 dni",IF(C245&gt;=58,"B — kampania regionalna",IF(C245&gt;=42,"C — weryfikacja i nurturing","D — niski priorytet/wykluczyć"))))</x:f>
        <x:v>C — weryfikacja i nurturing</x:v>
      </x:c>
      <x:c r="C245" s="88" t="n">
        <x:f>MAX(0,MIN(100,SUM(AB245:AG245)-AH245))</x:f>
        <x:v>46</x:v>
      </x:c>
      <x:c r="D245" s="62" t="str">
        <x:v>Bliq Sp. z o.o.</x:v>
      </x:c>
      <x:c r="E245" s="62" t="str">
        <x:v>Partner strategiczny / producent</x:v>
      </x:c>
      <x:c r="F245" s="62" t="str">
        <x:v>S4 — Vape/e-papierosy</x:v>
      </x:c>
      <x:c r="G245" s="62" t="str">
        <x:v>Producent</x:v>
      </x:c>
      <x:c r="H245" s="62" t="str">
        <x:v>Mazowieckie</x:v>
      </x:c>
      <x:c r="I245" s="62" t="str">
        <x:v>Warszawa</x:v>
      </x:c>
      <x:c r="J245" s="62" t="str">
        <x:v>Nieustalona</x:v>
      </x:c>
      <x:c r="K245" s="62" t="str"/>
      <x:c r="L245" s="62" t="str">
        <x:v>882 00 89 89</x:v>
      </x:c>
      <x:c r="M245" s="62" t="str"/>
      <x:c r="N245" s="62" t="str"/>
      <x:c r="O245" s="62" t="str"/>
      <x:c r="P245" s="62" t="str">
        <x:v>ul. Suwak 4/13, Warszawa</x:v>
      </x:c>
      <x:c r="Q245" s="62" t="str"/>
      <x:c r="R245" s="62" t="str"/>
      <x:c r="S245" s="62" t="str">
        <x:v>Vape</x:v>
      </x:c>
      <x:c r="T245" s="62" t="str">
        <x:f>IF(AND(K245&lt;&gt;"",L245&lt;&gt;"",O245&lt;&gt;""),"Pełny",IF(OR(K245&lt;&gt;"",L245&lt;&gt;""),"Częściowy","Brak bezpośredniego kontaktu"))</x:f>
        <x:v>Częściowy</x:v>
      </x:c>
      <x:c r="U245" s="62" t="str">
        <x:v>Nowy</x:v>
      </x:c>
      <x:c r="V245" s="62" t="str">
        <x:v>BILLS — hurt@bills.pl</x:v>
      </x:c>
      <x:c r="W245" s="62" t="str">
        <x:v>Zweryfikować dane, produkty i status B2B przed kontaktem</x:v>
      </x:c>
      <x:c r="X245" s="81" t="str">
        <x:f>IF(C245&gt;=82,'Model scoringu'!$B$4,IF(C245&gt;=72,'Model scoringu'!$B$5,IF(C245&gt;=58,'Model scoringu'!$B$6,"")))</x:f>
      </x:c>
      <x:c r="Y245" s="62" t="str">
        <x:v>Kanał sąsiedni z bazą klientów zainteresowanych produktami nikotynowymi.</x:v>
      </x:c>
      <x:c r="Z245" s="62" t="str"/>
      <x:c r="AA245" s="62" t="str"/>
      <x:c r="AB245" s="50" t="n">
        <x:v>11</x:v>
      </x:c>
      <x:c r="AC245" s="50" t="n">
        <x:v>7</x:v>
      </x:c>
      <x:c r="AD245" s="50" t="n">
        <x:v>7</x:v>
      </x:c>
      <x:c r="AE245" s="50" t="n">
        <x:v>6</x:v>
      </x:c>
      <x:c r="AF245" s="50" t="n">
        <x:v>10</x:v>
      </x:c>
      <x:c r="AG245" s="50" t="n">
        <x:v>5</x:v>
      </x:c>
      <x:c r="AH245" s="57" t="n">
        <x:v>0</x:v>
      </x:c>
    </x:row>
    <x:row r="246" ht="34" customHeight="1">
      <x:c r="A246" s="87" t="n">
        <x:v>244</x:v>
      </x:c>
      <x:c r="B246" s="88" t="str">
        <x:f>IF(C246&gt;=82,"A"&amp;1&amp;" — kontakt natychmiast",IF(C246&gt;=72,"A"&amp;2&amp;" — kontakt w 7 dni",IF(C246&gt;=58,"B — kampania regionalna",IF(C246&gt;=42,"C — weryfikacja i nurturing","D — niski priorytet/wykluczyć"))))</x:f>
        <x:v>C — weryfikacja i nurturing</x:v>
      </x:c>
      <x:c r="C246" s="88" t="n">
        <x:f>MAX(0,MIN(100,SUM(AB246:AG246)-AH246))</x:f>
        <x:v>46</x:v>
      </x:c>
      <x:c r="D246" s="62" t="str">
        <x:v>Dom Cygar / Cigar House Stores</x:v>
      </x:c>
      <x:c r="E246" s="62" t="str">
        <x:v>Partner cross-sell / kanał sąsiedni</x:v>
      </x:c>
      <x:c r="F246" s="62" t="str">
        <x:v>S5 — Cygara i trafiki premium</x:v>
      </x:c>
      <x:c r="G246" s="62" t="str">
        <x:v>Sieć detaliczna/omnichannel</x:v>
      </x:c>
      <x:c r="H246" s="62" t="str">
        <x:v>Mazowieckie</x:v>
      </x:c>
      <x:c r="I246" s="62" t="str">
        <x:v>Warszawa</x:v>
      </x:c>
      <x:c r="J246" s="62" t="str">
        <x:v>Średni</x:v>
      </x:c>
      <x:c r="K246" s="62" t="str"/>
      <x:c r="L246" s="62" t="str"/>
      <x:c r="M246" s="62" t="str"/>
      <x:c r="N246" s="62" t="str"/>
      <x:c r="O246" s="62" t="str">
        <x:v>https://www.cigarhousestores.com</x:v>
      </x:c>
      <x:c r="P246" s="62" t="str">
        <x:v>Warszawa; dodatkowe salony deklarowane w Krakowie i Wrocławiu</x:v>
      </x:c>
      <x:c r="Q246" s="62" t="str"/>
      <x:c r="R246" s="62" t="str"/>
      <x:c r="S246" s="62" t="str">
        <x:v>Cygara | Humidory | Gilotyny | Zapalniczki | Popielniczki | Cygara premium | Akcesoria cygarowe | Retail premium</x:v>
      </x:c>
      <x:c r="T246" s="62" t="str">
        <x:f>IF(AND(K246&lt;&gt;"",L246&lt;&gt;"",O246&lt;&gt;""),"Pełny",IF(OR(K246&lt;&gt;"",L246&lt;&gt;""),"Częściowy","Brak bezpośredniego kontaktu"))</x:f>
        <x:v>Brak bezpośredniego kontaktu</x:v>
      </x:c>
      <x:c r="U246" s="62" t="str">
        <x:v>Nowy</x:v>
      </x:c>
      <x:c r="V246" s="62" t="str">
        <x:v>BILLS — hurt@bills.pl</x:v>
      </x:c>
      <x:c r="W246" s="62" t="str">
        <x:v>Zweryfikować dane, produkty i status B2B przed kontaktem</x:v>
      </x:c>
      <x:c r="X246" s="81" t="str">
        <x:f>IF(C246&gt;=82,'Model scoringu'!$B$4,IF(C246&gt;=72,'Model scoringu'!$B$5,IF(C246&gt;=58,'Model scoringu'!$B$6,"")))</x:f>
      </x:c>
      <x:c r="Y246" s="62" t="str">
        <x:v>Premium trafiki i specjalistyczne punkty sprzedaży.</x:v>
      </x:c>
      <x:c r="Z246" s="62" t="str">
        <x:v>https://www.cigarhousestores.com/o-nas | https://www.cigarhousestores.com/kontakt | https://www.cigarhousestores.com/lokalizacje | https://www.cigarhousestores.com</x:v>
      </x:c>
      <x:c r="AA246" s="62" t="str">
        <x:v>Nie używać danych NIP/KRS z witryny bez potwierdzenia w rejestrze; wyglądają na placeholdery. | Status źródłowy: Do weryfikacji — katalog</x:v>
      </x:c>
      <x:c r="AB246" s="50" t="n">
        <x:v>10</x:v>
      </x:c>
      <x:c r="AC246" s="50" t="n">
        <x:v>13</x:v>
      </x:c>
      <x:c r="AD246" s="50" t="n">
        <x:v>11</x:v>
      </x:c>
      <x:c r="AE246" s="50" t="n">
        <x:v>5</x:v>
      </x:c>
      <x:c r="AF246" s="50" t="n">
        <x:v>10</x:v>
      </x:c>
      <x:c r="AG246" s="50" t="n">
        <x:v>7</x:v>
      </x:c>
      <x:c r="AH246" s="57" t="n">
        <x:v>10</x:v>
      </x:c>
    </x:row>
    <x:row r="247" ht="34" customHeight="1">
      <x:c r="A247" s="87" t="n">
        <x:v>245</x:v>
      </x:c>
      <x:c r="B247" s="88" t="str">
        <x:f>IF(C247&gt;=82,"A"&amp;1&amp;" — kontakt natychmiast",IF(C247&gt;=72,"A"&amp;2&amp;" — kontakt w 7 dni",IF(C247&gt;=58,"B — kampania regionalna",IF(C247&gt;=42,"C — weryfikacja i nurturing","D — niski priorytet/wykluczyć"))))</x:f>
        <x:v>C — weryfikacja i nurturing</x:v>
      </x:c>
      <x:c r="C247" s="88" t="n">
        <x:f>MAX(0,MIN(100,SUM(AB247:AG247)-AH247))</x:f>
        <x:v>45</x:v>
      </x:c>
      <x:c r="D247" s="62" t="str">
        <x:v>FHPD</x:v>
      </x:c>
      <x:c r="E247" s="62" t="str">
        <x:v>Do weryfikacji</x:v>
      </x:c>
      <x:c r="F247" s="62" t="str">
        <x:v>S7 — Pozostałe/niezweryfikowane</x:v>
      </x:c>
      <x:c r="G247" s="62" t="str">
        <x:v>Hurt B2B regionalny</x:v>
      </x:c>
      <x:c r="H247" s="62" t="str">
        <x:v>Dolnośląskie</x:v>
      </x:c>
      <x:c r="I247" s="62" t="str">
        <x:v>Wrocław</x:v>
      </x:c>
      <x:c r="J247" s="62" t="str">
        <x:v>Nieustalona</x:v>
      </x:c>
      <x:c r="K247" s="62" t="str"/>
      <x:c r="L247" s="62" t="str">
        <x:v>534 922 566</x:v>
      </x:c>
      <x:c r="M247" s="62" t="str"/>
      <x:c r="N247" s="62" t="str"/>
      <x:c r="O247" s="62" t="str">
        <x:v>https://fhpd.pl</x:v>
      </x:c>
      <x:c r="P247" s="62" t="str">
        <x:v>UL. KOŻUCHOWSKA 12/, 51-631 WROCŁAW</x:v>
      </x:c>
      <x:c r="Q247" s="62" t="str">
        <x:v>8942893752</x:v>
      </x:c>
      <x:c r="R247" s="62" t="str">
        <x:v>0000276323</x:v>
      </x:c>
      <x:c r="S247" s="62" t="str">
        <x:v>Hurtownia | Sklep</x:v>
      </x:c>
      <x:c r="T247" s="62" t="str">
        <x:f>IF(AND(K247&lt;&gt;"",L247&lt;&gt;"",O247&lt;&gt;""),"Pełny",IF(OR(K247&lt;&gt;"",L247&lt;&gt;""),"Częściowy","Brak bezpośredniego kontaktu"))</x:f>
        <x:v>Częściowy</x:v>
      </x:c>
      <x:c r="U247" s="62" t="str">
        <x:v>Nowy</x:v>
      </x:c>
      <x:c r="V247" s="62" t="str">
        <x:v>BILLS — hurt@bills.pl</x:v>
      </x:c>
      <x:c r="W247" s="62" t="str">
        <x:v>Zweryfikować dane, produkty i status B2B przed kontaktem</x:v>
      </x:c>
      <x:c r="X247" s="81" t="str">
        <x:f>IF(C247&gt;=82,'Model scoringu'!$B$4,IF(C247&gt;=72,'Model scoringu'!$B$5,IF(C247&gt;=58,'Model scoringu'!$B$6,"")))</x:f>
      </x:c>
      <x:c r="Y247" s="62" t="str">
        <x:v>.</x:v>
      </x:c>
      <x:c r="Z247" s="62" t="str">
        <x:v>https://fhpd.pl</x:v>
      </x:c>
      <x:c r="AA247" s="62" t="str">
        <x:v>Status źródłowy: Inny</x:v>
      </x:c>
      <x:c r="AB247" s="50" t="n">
        <x:v>4</x:v>
      </x:c>
      <x:c r="AC247" s="50" t="n">
        <x:v>15</x:v>
      </x:c>
      <x:c r="AD247" s="50" t="n">
        <x:v>7</x:v>
      </x:c>
      <x:c r="AE247" s="50" t="n">
        <x:v>9</x:v>
      </x:c>
      <x:c r="AF247" s="50" t="n">
        <x:v>10</x:v>
      </x:c>
      <x:c r="AG247" s="50" t="n">
        <x:v>5</x:v>
      </x:c>
      <x:c r="AH247" s="57" t="n">
        <x:v>5</x:v>
      </x:c>
    </x:row>
    <x:row r="248" ht="34" customHeight="1">
      <x:c r="A248" s="87" t="n">
        <x:v>246</x:v>
      </x:c>
      <x:c r="B248" s="88" t="str">
        <x:f>IF(C248&gt;=82,"A"&amp;1&amp;" — kontakt natychmiast",IF(C248&gt;=72,"A"&amp;2&amp;" — kontakt w 7 dni",IF(C248&gt;=58,"B — kampania regionalna",IF(C248&gt;=42,"C — weryfikacja i nurturing","D — niski priorytet/wykluczyć"))))</x:f>
        <x:v>C — weryfikacja i nurturing</x:v>
      </x:c>
      <x:c r="C248" s="88" t="n">
        <x:f>MAX(0,MIN(100,SUM(AB248:AG248)-AH248))</x:f>
        <x:v>44</x:v>
      </x:c>
      <x:c r="D248" s="62" t="str">
        <x:v>Vapeempire</x:v>
      </x:c>
      <x:c r="E248" s="62" t="str">
        <x:v>Potencjalny reseller / odbiorca hurtowy</x:v>
      </x:c>
      <x:c r="F248" s="62" t="str">
        <x:v>S1 — RYO/MYO, gilzy i nabijarki</x:v>
      </x:c>
      <x:c r="G248" s="62" t="str">
        <x:v>Hurt B2B regionalny</x:v>
      </x:c>
      <x:c r="H248" s="62" t="str">
        <x:v>Nieustalony</x:v>
      </x:c>
      <x:c r="I248" s="62" t="str"/>
      <x:c r="J248" s="62" t="str">
        <x:v>Nieustalona</x:v>
      </x:c>
      <x:c r="K248" s="62" t="str"/>
      <x:c r="L248" s="62" t="str">
        <x:v>172346997</x:v>
      </x:c>
      <x:c r="M248" s="62" t="str"/>
      <x:c r="N248" s="62" t="str"/>
      <x:c r="O248" s="62" t="str">
        <x:v>https://www.vapeempire.pl</x:v>
      </x:c>
      <x:c r="P248" s="62" t="str"/>
      <x:c r="Q248" s="62" t="str"/>
      <x:c r="R248" s="62" t="str"/>
      <x:c r="S248" s="62" t="str">
        <x:v>Vape &amp; E-papierosy</x:v>
      </x:c>
      <x:c r="T248" s="62" t="str">
        <x:f>IF(AND(K248&lt;&gt;"",L248&lt;&gt;"",O248&lt;&gt;""),"Pełny",IF(OR(K248&lt;&gt;"",L248&lt;&gt;""),"Częściowy","Brak bezpośredniego kontaktu"))</x:f>
        <x:v>Częściowy</x:v>
      </x:c>
      <x:c r="U248" s="62" t="str">
        <x:v>Nowy</x:v>
      </x:c>
      <x:c r="V248" s="62" t="str">
        <x:v>BILLS — hurt@bills.pl</x:v>
      </x:c>
      <x:c r="W248" s="62" t="str">
        <x:v>Zweryfikować dane, produkty i status B2B przed kontaktem</x:v>
      </x:c>
      <x:c r="X248" s="81" t="str">
        <x:f>IF(C248&gt;=82,'Model scoringu'!$B$4,IF(C248&gt;=72,'Model scoringu'!$B$5,IF(C248&gt;=58,'Model scoringu'!$B$6,"")))</x:f>
      </x:c>
      <x:c r="Y248" s="62" t="str">
        <x:v>Bezpośrednie dopasowanie do ryo/myo, gilz lub nabijarek.</x:v>
      </x:c>
      <x:c r="Z248" s="62" t="str">
        <x:v>https://www.vapeempire.pl</x:v>
      </x:c>
      <x:c r="AA248" s="62" t="str">
        <x:v>Dodane na prośbę użytkownika z wyników wyszukiwania (e-papierosy / nabijarki). | Status źródłowy: Aktywny</x:v>
      </x:c>
      <x:c r="AB248" s="50" t="n">
        <x:v>30</x:v>
      </x:c>
      <x:c r="AC248" s="50" t="n">
        <x:v>15</x:v>
      </x:c>
      <x:c r="AD248" s="50" t="n">
        <x:v>7</x:v>
      </x:c>
      <x:c r="AE248" s="50" t="n">
        <x:v>7</x:v>
      </x:c>
      <x:c r="AF248" s="50" t="n">
        <x:v>8</x:v>
      </x:c>
      <x:c r="AG248" s="50" t="n">
        <x:v>7</x:v>
      </x:c>
      <x:c r="AH248" s="57" t="n">
        <x:v>30</x:v>
      </x:c>
    </x:row>
    <x:row r="249" ht="34" customHeight="1">
      <x:c r="A249" s="87" t="n">
        <x:v>247</x:v>
      </x:c>
      <x:c r="B249" s="88" t="str">
        <x:f>IF(C249&gt;=82,"A"&amp;1&amp;" — kontakt natychmiast",IF(C249&gt;=72,"A"&amp;2&amp;" — kontakt w 7 dni",IF(C249&gt;=58,"B — kampania regionalna",IF(C249&gt;=42,"C — weryfikacja i nurturing","D — niski priorytet/wykluczyć"))))</x:f>
        <x:v>C — weryfikacja i nurturing</x:v>
      </x:c>
      <x:c r="C249" s="88" t="n">
        <x:f>MAX(0,MIN(100,SUM(AB249:AG249)-AH249))</x:f>
        <x:v>44</x:v>
      </x:c>
      <x:c r="D249" s="62" t="str">
        <x:v>Smoks</x:v>
      </x:c>
      <x:c r="E249" s="62" t="str">
        <x:v>Potencjalny reseller / odbiorca hurtowy</x:v>
      </x:c>
      <x:c r="F249" s="62" t="str">
        <x:v>S1 — RYO/MYO, gilzy i nabijarki</x:v>
      </x:c>
      <x:c r="G249" s="62" t="str">
        <x:v>Hurt B2B regionalny</x:v>
      </x:c>
      <x:c r="H249" s="62" t="str">
        <x:v>Nieustalony</x:v>
      </x:c>
      <x:c r="I249" s="62" t="str"/>
      <x:c r="J249" s="62" t="str">
        <x:v>Nieustalona</x:v>
      </x:c>
      <x:c r="K249" s="62" t="str"/>
      <x:c r="L249" s="62" t="str">
        <x:v>867778659</x:v>
      </x:c>
      <x:c r="M249" s="62" t="str"/>
      <x:c r="N249" s="62" t="str"/>
      <x:c r="O249" s="62" t="str">
        <x:v>https://www.smoks.pl</x:v>
      </x:c>
      <x:c r="P249" s="62" t="str"/>
      <x:c r="Q249" s="62" t="str"/>
      <x:c r="R249" s="62" t="str"/>
      <x:c r="S249" s="62" t="str">
        <x:v>Nabijarki &amp; Zwijarki</x:v>
      </x:c>
      <x:c r="T249" s="62" t="str">
        <x:f>IF(AND(K249&lt;&gt;"",L249&lt;&gt;"",O249&lt;&gt;""),"Pełny",IF(OR(K249&lt;&gt;"",L249&lt;&gt;""),"Częściowy","Brak bezpośredniego kontaktu"))</x:f>
        <x:v>Częściowy</x:v>
      </x:c>
      <x:c r="U249" s="62" t="str">
        <x:v>Nowy</x:v>
      </x:c>
      <x:c r="V249" s="62" t="str">
        <x:v>BILLS — hurt@bills.pl</x:v>
      </x:c>
      <x:c r="W249" s="62" t="str">
        <x:v>Zweryfikować dane, produkty i status B2B przed kontaktem</x:v>
      </x:c>
      <x:c r="X249" s="81" t="str">
        <x:f>IF(C249&gt;=82,'Model scoringu'!$B$4,IF(C249&gt;=72,'Model scoringu'!$B$5,IF(C249&gt;=58,'Model scoringu'!$B$6,"")))</x:f>
      </x:c>
      <x:c r="Y249" s="62" t="str">
        <x:v>Bezpośrednie dopasowanie do ryo/myo, gilz lub nabijarek.</x:v>
      </x:c>
      <x:c r="Z249" s="62" t="str">
        <x:v>https://www.smoks.pl</x:v>
      </x:c>
      <x:c r="AA249" s="62" t="str">
        <x:v>Dodane z wyników wyszukiwania dla niszowych słów (Powermatic, Shisha, bletki). | Status źródłowy: Aktywny</x:v>
      </x:c>
      <x:c r="AB249" s="50" t="n">
        <x:v>30</x:v>
      </x:c>
      <x:c r="AC249" s="50" t="n">
        <x:v>15</x:v>
      </x:c>
      <x:c r="AD249" s="50" t="n">
        <x:v>7</x:v>
      </x:c>
      <x:c r="AE249" s="50" t="n">
        <x:v>7</x:v>
      </x:c>
      <x:c r="AF249" s="50" t="n">
        <x:v>8</x:v>
      </x:c>
      <x:c r="AG249" s="50" t="n">
        <x:v>7</x:v>
      </x:c>
      <x:c r="AH249" s="57" t="n">
        <x:v>30</x:v>
      </x:c>
    </x:row>
    <x:row r="250" ht="34" customHeight="1">
      <x:c r="A250" s="87" t="n">
        <x:v>248</x:v>
      </x:c>
      <x:c r="B250" s="88" t="str">
        <x:f>IF(C250&gt;=82,"A"&amp;1&amp;" — kontakt natychmiast",IF(C250&gt;=72,"A"&amp;2&amp;" — kontakt w 7 dni",IF(C250&gt;=58,"B — kampania regionalna",IF(C250&gt;=42,"C — weryfikacja i nurturing","D — niski priorytet/wykluczyć"))))</x:f>
        <x:v>C — weryfikacja i nurturing</x:v>
      </x:c>
      <x:c r="C250" s="88" t="n">
        <x:f>MAX(0,MIN(100,SUM(AB250:AG250)-AH250))</x:f>
        <x:v>43</x:v>
      </x:c>
      <x:c r="D250" s="62" t="str">
        <x:v>Vaporshop.pl / ULTI-PRO Sp. z o.o.</x:v>
      </x:c>
      <x:c r="E250" s="62" t="str">
        <x:v>Do weryfikacji</x:v>
      </x:c>
      <x:c r="F250" s="62" t="str">
        <x:v>S7 — Pozostałe/niezweryfikowane</x:v>
      </x:c>
      <x:c r="G250" s="62" t="str">
        <x:v>Detal/e-commerce</x:v>
      </x:c>
      <x:c r="H250" s="62" t="str">
        <x:v>Śląskie</x:v>
      </x:c>
      <x:c r="I250" s="62" t="str">
        <x:v>Rybnik</x:v>
      </x:c>
      <x:c r="J250" s="62" t="str">
        <x:v>Nieustalona</x:v>
      </x:c>
      <x:c r="K250" s="62" t="str">
        <x:v>sklep@vaporshop.pl</x:v>
      </x:c>
      <x:c r="L250" s="62" t="str">
        <x:v>793 936 707</x:v>
      </x:c>
      <x:c r="M250" s="62" t="str"/>
      <x:c r="N250" s="62" t="str"/>
      <x:c r="O250" s="62" t="str">
        <x:v>https://vaporshop.pl/pl</x:v>
      </x:c>
      <x:c r="P250" s="62" t="str">
        <x:v>ul. Skłodowskiej 7, 44-200 Rybnik</x:v>
      </x:c>
      <x:c r="Q250" s="62" t="str">
        <x:v>6422974472</x:v>
      </x:c>
      <x:c r="R250" s="62" t="str"/>
      <x:c r="S250" s="62" t="str"/>
      <x:c r="T250" s="62" t="str">
        <x:f>IF(AND(K250&lt;&gt;"",L250&lt;&gt;"",O250&lt;&gt;""),"Pełny",IF(OR(K250&lt;&gt;"",L250&lt;&gt;""),"Częściowy","Brak bezpośredniego kontaktu"))</x:f>
        <x:v>Pełny</x:v>
      </x:c>
      <x:c r="U250" s="62" t="str">
        <x:v>Nowy</x:v>
      </x:c>
      <x:c r="V250" s="62" t="str">
        <x:v>BILLS — hurt@bills.pl</x:v>
      </x:c>
      <x:c r="W250" s="62" t="str">
        <x:v>Zweryfikować dane, produkty i status B2B przed kontaktem</x:v>
      </x:c>
      <x:c r="X250" s="81" t="str">
        <x:f>IF(C250&gt;=82,'Model scoringu'!$B$4,IF(C250&gt;=72,'Model scoringu'!$B$5,IF(C250&gt;=58,'Model scoringu'!$B$6,"")))</x:f>
      </x:c>
      <x:c r="Y250" s="62" t="str">
        <x:v>.</x:v>
      </x:c>
      <x:c r="Z250" s="62" t="str">
        <x:v>https://vaporshop.pl/pl</x:v>
      </x:c>
      <x:c r="AA250" s="62" t="str"/>
      <x:c r="AB250" s="50" t="n">
        <x:v>4</x:v>
      </x:c>
      <x:c r="AC250" s="50" t="n">
        <x:v>7</x:v>
      </x:c>
      <x:c r="AD250" s="50" t="n">
        <x:v>7</x:v>
      </x:c>
      <x:c r="AE250" s="50" t="n">
        <x:v>15</x:v>
      </x:c>
      <x:c r="AF250" s="50" t="n">
        <x:v>10</x:v>
      </x:c>
      <x:c r="AG250" s="50" t="n">
        <x:v>5</x:v>
      </x:c>
      <x:c r="AH250" s="57" t="n">
        <x:v>5</x:v>
      </x:c>
    </x:row>
    <x:row r="251" ht="34" customHeight="1">
      <x:c r="A251" s="87" t="n">
        <x:v>249</x:v>
      </x:c>
      <x:c r="B251" s="88" t="str">
        <x:f>IF(C251&gt;=82,"A"&amp;1&amp;" — kontakt natychmiast",IF(C251&gt;=72,"A"&amp;2&amp;" — kontakt w 7 dni",IF(C251&gt;=58,"B — kampania regionalna",IF(C251&gt;=42,"C — weryfikacja i nurturing","D — niski priorytet/wykluczyć"))))</x:f>
        <x:v>C — weryfikacja i nurturing</x:v>
      </x:c>
      <x:c r="C251" s="88" t="n">
        <x:f>MAX(0,MIN(100,SUM(AB251:AG251)-AH251))</x:f>
        <x:v>43</x:v>
      </x:c>
      <x:c r="D251" s="62" t="str">
        <x:v>Paso Polska Sp. z o.o. Sp.k</x:v>
      </x:c>
      <x:c r="E251" s="62" t="str">
        <x:v>Do weryfikacji</x:v>
      </x:c>
      <x:c r="F251" s="62" t="str">
        <x:v>S7 — Pozostałe/niezweryfikowane</x:v>
      </x:c>
      <x:c r="G251" s="62" t="str">
        <x:v>Detal/e-commerce</x:v>
      </x:c>
      <x:c r="H251" s="62" t="str">
        <x:v>Opolskie</x:v>
      </x:c>
      <x:c r="I251" s="62" t="str">
        <x:v>Tarnowo Podgórne</x:v>
      </x:c>
      <x:c r="J251" s="62" t="str">
        <x:v>Nieustalona</x:v>
      </x:c>
      <x:c r="K251" s="62" t="str">
        <x:v>hurt@paso.pl</x:v>
      </x:c>
      <x:c r="L251" s="62" t="str">
        <x:v>61 89 666 61</x:v>
      </x:c>
      <x:c r="M251" s="62" t="str"/>
      <x:c r="N251" s="62" t="str"/>
      <x:c r="O251" s="62" t="str">
        <x:v>https://hurtownia.paso.pl/kontakt</x:v>
      </x:c>
      <x:c r="P251" s="62" t="str">
        <x:v>Sierosław, ul. Skrajna 1, 62-080 Tarnowo Podgórne</x:v>
      </x:c>
      <x:c r="Q251" s="62" t="str"/>
      <x:c r="R251" s="62" t="str"/>
      <x:c r="S251" s="62" t="str"/>
      <x:c r="T251" s="62" t="str">
        <x:f>IF(AND(K251&lt;&gt;"",L251&lt;&gt;"",O251&lt;&gt;""),"Pełny",IF(OR(K251&lt;&gt;"",L251&lt;&gt;""),"Częściowy","Brak bezpośredniego kontaktu"))</x:f>
        <x:v>Pełny</x:v>
      </x:c>
      <x:c r="U251" s="62" t="str">
        <x:v>Nowy</x:v>
      </x:c>
      <x:c r="V251" s="62" t="str">
        <x:v>BILLS — hurt@bills.pl</x:v>
      </x:c>
      <x:c r="W251" s="62" t="str">
        <x:v>Zweryfikować dane, produkty i status B2B przed kontaktem</x:v>
      </x:c>
      <x:c r="X251" s="81" t="str">
        <x:f>IF(C251&gt;=82,'Model scoringu'!$B$4,IF(C251&gt;=72,'Model scoringu'!$B$5,IF(C251&gt;=58,'Model scoringu'!$B$6,"")))</x:f>
      </x:c>
      <x:c r="Y251" s="62" t="str">
        <x:v>.</x:v>
      </x:c>
      <x:c r="Z251" s="62" t="str">
        <x:v>https://hurtownia.paso.pl/kontakt</x:v>
      </x:c>
      <x:c r="AA251" s="62" t="str"/>
      <x:c r="AB251" s="50" t="n">
        <x:v>4</x:v>
      </x:c>
      <x:c r="AC251" s="50" t="n">
        <x:v>7</x:v>
      </x:c>
      <x:c r="AD251" s="50" t="n">
        <x:v>7</x:v>
      </x:c>
      <x:c r="AE251" s="50" t="n">
        <x:v>15</x:v>
      </x:c>
      <x:c r="AF251" s="50" t="n">
        <x:v>10</x:v>
      </x:c>
      <x:c r="AG251" s="50" t="n">
        <x:v>5</x:v>
      </x:c>
      <x:c r="AH251" s="57" t="n">
        <x:v>5</x:v>
      </x:c>
    </x:row>
    <x:row r="252" ht="34" customHeight="1">
      <x:c r="A252" s="87" t="n">
        <x:v>250</x:v>
      </x:c>
      <x:c r="B252" s="88" t="str">
        <x:f>IF(C252&gt;=82,"A"&amp;1&amp;" — kontakt natychmiast",IF(C252&gt;=72,"A"&amp;2&amp;" — kontakt w 7 dni",IF(C252&gt;=58,"B — kampania regionalna",IF(C252&gt;=42,"C — weryfikacja i nurturing","D — niski priorytet/wykluczyć"))))</x:f>
        <x:v>C — weryfikacja i nurturing</x:v>
      </x:c>
      <x:c r="C252" s="88" t="n">
        <x:f>MAX(0,MIN(100,SUM(AB252:AG252)-AH252))</x:f>
        <x:v>43</x:v>
      </x:c>
      <x:c r="D252" s="62" t="str">
        <x:v>Doctor Vape</x:v>
      </x:c>
      <x:c r="E252" s="62" t="str">
        <x:v>Partner cross-sell / kanał sąsiedni</x:v>
      </x:c>
      <x:c r="F252" s="62" t="str">
        <x:v>S4 — Vape/e-papierosy</x:v>
      </x:c>
      <x:c r="G252" s="62" t="str">
        <x:v>Detal/e-commerce</x:v>
      </x:c>
      <x:c r="H252" s="62" t="str">
        <x:v>Nieustalony</x:v>
      </x:c>
      <x:c r="I252" s="62" t="str"/>
      <x:c r="J252" s="62" t="str">
        <x:v>Nieustalona</x:v>
      </x:c>
      <x:c r="K252" s="62" t="str"/>
      <x:c r="L252" s="62" t="str"/>
      <x:c r="M252" s="62" t="str"/>
      <x:c r="N252" s="62" t="str"/>
      <x:c r="O252" s="62" t="str">
        <x:v>https://b2b-doctorvape.pl</x:v>
      </x:c>
      <x:c r="P252" s="62" t="str"/>
      <x:c r="Q252" s="62" t="str"/>
      <x:c r="R252" s="62" t="str"/>
      <x:c r="S252" s="62" t="str">
        <x:v>Vape</x:v>
      </x:c>
      <x:c r="T252" s="62" t="str">
        <x:f>IF(AND(K252&lt;&gt;"",L252&lt;&gt;"",O252&lt;&gt;""),"Pełny",IF(OR(K252&lt;&gt;"",L252&lt;&gt;""),"Częściowy","Brak bezpośredniego kontaktu"))</x:f>
        <x:v>Brak bezpośredniego kontaktu</x:v>
      </x:c>
      <x:c r="U252" s="62" t="str">
        <x:v>Nowy</x:v>
      </x:c>
      <x:c r="V252" s="62" t="str">
        <x:v>BILLS — hurt@bills.pl</x:v>
      </x:c>
      <x:c r="W252" s="62" t="str">
        <x:v>Zweryfikować dane, produkty i status B2B przed kontaktem</x:v>
      </x:c>
      <x:c r="X252" s="81" t="str">
        <x:f>IF(C252&gt;=82,'Model scoringu'!$B$4,IF(C252&gt;=72,'Model scoringu'!$B$5,IF(C252&gt;=58,'Model scoringu'!$B$6,"")))</x:f>
      </x:c>
      <x:c r="Y252" s="62" t="str">
        <x:v>Kanał sąsiedni z bazą klientów zainteresowanych produktami nikotynowymi.</x:v>
      </x:c>
      <x:c r="Z252" s="62" t="str">
        <x:v>https://b2b-doctorvape.pl</x:v>
      </x:c>
      <x:c r="AA252" s="62" t="str">
        <x:v>Dostawy z Francji do PL i UE</x:v>
      </x:c>
      <x:c r="AB252" s="50" t="n">
        <x:v>11</x:v>
      </x:c>
      <x:c r="AC252" s="50" t="n">
        <x:v>7</x:v>
      </x:c>
      <x:c r="AD252" s="50" t="n">
        <x:v>7</x:v>
      </x:c>
      <x:c r="AE252" s="50" t="n">
        <x:v>3</x:v>
      </x:c>
      <x:c r="AF252" s="50" t="n">
        <x:v>10</x:v>
      </x:c>
      <x:c r="AG252" s="50" t="n">
        <x:v>5</x:v>
      </x:c>
      <x:c r="AH252" s="57" t="n">
        <x:v>0</x:v>
      </x:c>
    </x:row>
    <x:row r="253" ht="34" customHeight="1">
      <x:c r="A253" s="87" t="n">
        <x:v>251</x:v>
      </x:c>
      <x:c r="B253" s="88" t="str">
        <x:f>IF(C253&gt;=82,"A"&amp;1&amp;" — kontakt natychmiast",IF(C253&gt;=72,"A"&amp;2&amp;" — kontakt w 7 dni",IF(C253&gt;=58,"B — kampania regionalna",IF(C253&gt;=42,"C — weryfikacja i nurturing","D — niski priorytet/wykluczyć"))))</x:f>
        <x:v>D — niski priorytet/wykluczyć</x:v>
      </x:c>
      <x:c r="C253" s="88" t="n">
        <x:f>MAX(0,MIN(100,SUM(AB253:AG253)-AH253))</x:f>
        <x:v>41</x:v>
      </x:c>
      <x:c r="D253" s="62" t="str">
        <x:v>Cannmedia / Bletki.com</x:v>
      </x:c>
      <x:c r="E253" s="62" t="str">
        <x:v>Do weryfikacji</x:v>
      </x:c>
      <x:c r="F253" s="62" t="str">
        <x:v>S7 — Pozostałe/niezweryfikowane</x:v>
      </x:c>
      <x:c r="G253" s="62" t="str">
        <x:v>Detal/e-commerce</x:v>
      </x:c>
      <x:c r="H253" s="62" t="str">
        <x:v>Nieustalony</x:v>
      </x:c>
      <x:c r="I253" s="62" t="str"/>
      <x:c r="J253" s="62" t="str">
        <x:v>Nieustalona</x:v>
      </x:c>
      <x:c r="K253" s="62" t="str">
        <x:v>sklep@bletki.com</x:v>
      </x:c>
      <x:c r="L253" s="62" t="str">
        <x:v>881 253 854</x:v>
      </x:c>
      <x:c r="M253" s="62" t="str"/>
      <x:c r="N253" s="62" t="str"/>
      <x:c r="O253" s="62" t="str">
        <x:v>https://www.bletki.com/sprzedaz-hurtowa</x:v>
      </x:c>
      <x:c r="P253" s="62" t="str"/>
      <x:c r="Q253" s="62" t="str"/>
      <x:c r="R253" s="62" t="str"/>
      <x:c r="S253" s="62" t="str"/>
      <x:c r="T253" s="62" t="str">
        <x:f>IF(AND(K253&lt;&gt;"",L253&lt;&gt;"",O253&lt;&gt;""),"Pełny",IF(OR(K253&lt;&gt;"",L253&lt;&gt;""),"Częściowy","Brak bezpośredniego kontaktu"))</x:f>
        <x:v>Pełny</x:v>
      </x:c>
      <x:c r="U253" s="62" t="str">
        <x:v>Do weryfikacji</x:v>
      </x:c>
      <x:c r="V253" s="62" t="str">
        <x:v>BILLS — hurt@bills.pl</x:v>
      </x:c>
      <x:c r="W253" s="62" t="str">
        <x:v>Archiwum lub weryfikacja przy okazji</x:v>
      </x:c>
      <x:c r="X253" s="81" t="str">
        <x:f>IF(C253&gt;=82,'Model scoringu'!$B$4,IF(C253&gt;=72,'Model scoringu'!$B$5,IF(C253&gt;=58,'Model scoringu'!$B$6,"")))</x:f>
      </x:c>
      <x:c r="Y253" s="62" t="str">
        <x:v>.</x:v>
      </x:c>
      <x:c r="Z253" s="62" t="str">
        <x:v>https://www.bletki.com/sprzedaz-hurtowa</x:v>
      </x:c>
      <x:c r="AA253" s="62" t="str"/>
      <x:c r="AB253" s="50" t="n">
        <x:v>4</x:v>
      </x:c>
      <x:c r="AC253" s="50" t="n">
        <x:v>7</x:v>
      </x:c>
      <x:c r="AD253" s="50" t="n">
        <x:v>7</x:v>
      </x:c>
      <x:c r="AE253" s="50" t="n">
        <x:v>13</x:v>
      </x:c>
      <x:c r="AF253" s="50" t="n">
        <x:v>10</x:v>
      </x:c>
      <x:c r="AG253" s="50" t="n">
        <x:v>5</x:v>
      </x:c>
      <x:c r="AH253" s="57" t="n">
        <x:v>5</x:v>
      </x:c>
    </x:row>
    <x:row r="254" ht="34" customHeight="1">
      <x:c r="A254" s="87" t="n">
        <x:v>252</x:v>
      </x:c>
      <x:c r="B254" s="88" t="str">
        <x:f>IF(C254&gt;=82,"A"&amp;1&amp;" — kontakt natychmiast",IF(C254&gt;=72,"A"&amp;2&amp;" — kontakt w 7 dni",IF(C254&gt;=58,"B — kampania regionalna",IF(C254&gt;=42,"C — weryfikacja i nurturing","D — niski priorytet/wykluczyć"))))</x:f>
        <x:v>D — niski priorytet/wykluczyć</x:v>
      </x:c>
      <x:c r="C254" s="88" t="n">
        <x:f>MAX(0,MIN(100,SUM(AB254:AG254)-AH254))</x:f>
        <x:v>40</x:v>
      </x:c>
      <x:c r="D254" s="62" t="str">
        <x:v>eCygaretka</x:v>
      </x:c>
      <x:c r="E254" s="62" t="str">
        <x:v>Sprzedawca detaliczny/e-commerce</x:v>
      </x:c>
      <x:c r="F254" s="62" t="str">
        <x:v>S6 — Retail/e-commerce</x:v>
      </x:c>
      <x:c r="G254" s="62" t="str">
        <x:v>Detal/e-commerce</x:v>
      </x:c>
      <x:c r="H254" s="62" t="str">
        <x:v>Mazowieckie</x:v>
      </x:c>
      <x:c r="I254" s="62" t="str">
        <x:v>Warszawa</x:v>
      </x:c>
      <x:c r="J254" s="62" t="str">
        <x:v>Nieustalona</x:v>
      </x:c>
      <x:c r="K254" s="62" t="str"/>
      <x:c r="L254" s="62" t="str"/>
      <x:c r="M254" s="62" t="str"/>
      <x:c r="N254" s="62" t="str"/>
      <x:c r="O254" s="62" t="str">
        <x:v>https://www.ecygaretka.pl/witamy-w-sklepie-pm-21.html</x:v>
      </x:c>
      <x:c r="P254" s="62" t="str"/>
      <x:c r="Q254" s="62" t="str">
        <x:v>8222172711</x:v>
      </x:c>
      <x:c r="R254" s="62" t="str"/>
      <x:c r="S254" s="62" t="str"/>
      <x:c r="T254" s="62" t="str">
        <x:f>IF(AND(K254&lt;&gt;"",L254&lt;&gt;"",O254&lt;&gt;""),"Pełny",IF(OR(K254&lt;&gt;"",L254&lt;&gt;""),"Częściowy","Brak bezpośredniego kontaktu"))</x:f>
        <x:v>Brak bezpośredniego kontaktu</x:v>
      </x:c>
      <x:c r="U254" s="62" t="str">
        <x:v>Do weryfikacji</x:v>
      </x:c>
      <x:c r="V254" s="62" t="str">
        <x:v>BILLS — hurt@bills.pl</x:v>
      </x:c>
      <x:c r="W254" s="62" t="str">
        <x:v>Archiwum lub weryfikacja przy okazji</x:v>
      </x:c>
      <x:c r="X254" s="81" t="str">
        <x:f>IF(C254&gt;=82,'Model scoringu'!$B$4,IF(C254&gt;=72,'Model scoringu'!$B$5,IF(C254&gt;=58,'Model scoringu'!$B$6,"")))</x:f>
      </x:c>
      <x:c r="Y254" s="62" t="str">
        <x:v>Możliwość szybkiego testu sprzedaży internetowej.</x:v>
      </x:c>
      <x:c r="Z254" s="62" t="str">
        <x:v>https://www.ecygaretka.pl/witamy-w-sklepie-pm-21.html</x:v>
      </x:c>
      <x:c r="AA254" s="62" t="str"/>
      <x:c r="AB254" s="50" t="n">
        <x:v>8</x:v>
      </x:c>
      <x:c r="AC254" s="50" t="n">
        <x:v>7</x:v>
      </x:c>
      <x:c r="AD254" s="50" t="n">
        <x:v>7</x:v>
      </x:c>
      <x:c r="AE254" s="50" t="n">
        <x:v>3</x:v>
      </x:c>
      <x:c r="AF254" s="50" t="n">
        <x:v>10</x:v>
      </x:c>
      <x:c r="AG254" s="50" t="n">
        <x:v>5</x:v>
      </x:c>
      <x:c r="AH254" s="57" t="n">
        <x:v>0</x:v>
      </x:c>
    </x:row>
    <x:row r="255" ht="34" customHeight="1">
      <x:c r="A255" s="87" t="n">
        <x:v>253</x:v>
      </x:c>
      <x:c r="B255" s="88" t="str">
        <x:f>IF(C255&gt;=82,"A"&amp;1&amp;" — kontakt natychmiast",IF(C255&gt;=72,"A"&amp;2&amp;" — kontakt w 7 dni",IF(C255&gt;=58,"B — kampania regionalna",IF(C255&gt;=42,"C — weryfikacja i nurturing","D — niski priorytet/wykluczyć"))))</x:f>
        <x:v>D — niski priorytet/wykluczyć</x:v>
      </x:c>
      <x:c r="C255" s="88" t="n">
        <x:f>MAX(0,MIN(100,SUM(AB255:AG255)-AH255))</x:f>
        <x:v>40</x:v>
      </x:c>
      <x:c r="D255" s="62" t="str">
        <x:v>Takatabaka</x:v>
      </x:c>
      <x:c r="E255" s="62" t="str">
        <x:v>Potencjalny reseller / odbiorca hurtowy</x:v>
      </x:c>
      <x:c r="F255" s="62" t="str">
        <x:v>S1 — RYO/MYO, gilzy i nabijarki</x:v>
      </x:c>
      <x:c r="G255" s="62" t="str">
        <x:v>Hurt B2B regionalny</x:v>
      </x:c>
      <x:c r="H255" s="62" t="str">
        <x:v>Nieustalony</x:v>
      </x:c>
      <x:c r="I255" s="62" t="str"/>
      <x:c r="J255" s="62" t="str">
        <x:v>Nieustalona</x:v>
      </x:c>
      <x:c r="K255" s="62" t="str"/>
      <x:c r="L255" s="62" t="str"/>
      <x:c r="M255" s="62" t="str"/>
      <x:c r="N255" s="62" t="str"/>
      <x:c r="O255" s="62" t="str">
        <x:v>https://www.takatabaka.pl</x:v>
      </x:c>
      <x:c r="P255" s="62" t="str"/>
      <x:c r="Q255" s="62" t="str"/>
      <x:c r="R255" s="62" t="str"/>
      <x:c r="S255" s="62" t="str">
        <x:v>Akcesoria Tytoniowe</x:v>
      </x:c>
      <x:c r="T255" s="62" t="str">
        <x:f>IF(AND(K255&lt;&gt;"",L255&lt;&gt;"",O255&lt;&gt;""),"Pełny",IF(OR(K255&lt;&gt;"",L255&lt;&gt;""),"Częściowy","Brak bezpośredniego kontaktu"))</x:f>
        <x:v>Brak bezpośredniego kontaktu</x:v>
      </x:c>
      <x:c r="U255" s="62" t="str">
        <x:v>Do weryfikacji</x:v>
      </x:c>
      <x:c r="V255" s="62" t="str">
        <x:v>BILLS — hurt@bills.pl</x:v>
      </x:c>
      <x:c r="W255" s="62" t="str">
        <x:v>Archiwum lub weryfikacja przy okazji</x:v>
      </x:c>
      <x:c r="X255" s="81" t="str">
        <x:f>IF(C255&gt;=82,'Model scoringu'!$B$4,IF(C255&gt;=72,'Model scoringu'!$B$5,IF(C255&gt;=58,'Model scoringu'!$B$6,"")))</x:f>
      </x:c>
      <x:c r="Y255" s="62" t="str">
        <x:v>Bezpośrednie dopasowanie do ryo/myo, gilz lub nabijarek.</x:v>
      </x:c>
      <x:c r="Z255" s="62" t="str">
        <x:v>https://www.takatabaka.pl</x:v>
      </x:c>
      <x:c r="AA255" s="62" t="str">
        <x:v>Dodane na prośbę użytkownika z wyników wyszukiwania (e-papierosy / nabijarki). | Status źródłowy: Aktywny</x:v>
      </x:c>
      <x:c r="AB255" s="50" t="n">
        <x:v>30</x:v>
      </x:c>
      <x:c r="AC255" s="50" t="n">
        <x:v>15</x:v>
      </x:c>
      <x:c r="AD255" s="50" t="n">
        <x:v>7</x:v>
      </x:c>
      <x:c r="AE255" s="50" t="n">
        <x:v>3</x:v>
      </x:c>
      <x:c r="AF255" s="50" t="n">
        <x:v>8</x:v>
      </x:c>
      <x:c r="AG255" s="50" t="n">
        <x:v>7</x:v>
      </x:c>
      <x:c r="AH255" s="57" t="n">
        <x:v>30</x:v>
      </x:c>
    </x:row>
    <x:row r="256" ht="34" customHeight="1">
      <x:c r="A256" s="87" t="n">
        <x:v>254</x:v>
      </x:c>
      <x:c r="B256" s="88" t="str">
        <x:f>IF(C256&gt;=82,"A"&amp;1&amp;" — kontakt natychmiast",IF(C256&gt;=72,"A"&amp;2&amp;" — kontakt w 7 dni",IF(C256&gt;=58,"B — kampania regionalna",IF(C256&gt;=42,"C — weryfikacja i nurturing","D — niski priorytet/wykluczyć"))))</x:f>
        <x:v>D — niski priorytet/wykluczyć</x:v>
      </x:c>
      <x:c r="C256" s="88" t="n">
        <x:f>MAX(0,MIN(100,SUM(AB256:AG256)-AH256))</x:f>
        <x:v>40</x:v>
      </x:c>
      <x:c r="D256" s="62" t="str">
        <x:v>Shisha</x:v>
      </x:c>
      <x:c r="E256" s="62" t="str">
        <x:v>Potencjalny reseller / odbiorca hurtowy</x:v>
      </x:c>
      <x:c r="F256" s="62" t="str">
        <x:v>S1 — RYO/MYO, gilzy i nabijarki</x:v>
      </x:c>
      <x:c r="G256" s="62" t="str">
        <x:v>Hurt B2B regionalny</x:v>
      </x:c>
      <x:c r="H256" s="62" t="str">
        <x:v>Nieustalony</x:v>
      </x:c>
      <x:c r="I256" s="62" t="str"/>
      <x:c r="J256" s="62" t="str">
        <x:v>Nieustalona</x:v>
      </x:c>
      <x:c r="K256" s="62" t="str"/>
      <x:c r="L256" s="62" t="str"/>
      <x:c r="M256" s="62" t="str"/>
      <x:c r="N256" s="62" t="str"/>
      <x:c r="O256" s="62" t="str">
        <x:v>https://www.shisha.pl</x:v>
      </x:c>
      <x:c r="P256" s="62" t="str"/>
      <x:c r="Q256" s="62" t="str"/>
      <x:c r="R256" s="62" t="str"/>
      <x:c r="S256" s="62" t="str">
        <x:v>Akcesoria Tytoniowe | Headshop (Bonga, Shisha)</x:v>
      </x:c>
      <x:c r="T256" s="62" t="str">
        <x:f>IF(AND(K256&lt;&gt;"",L256&lt;&gt;"",O256&lt;&gt;""),"Pełny",IF(OR(K256&lt;&gt;"",L256&lt;&gt;""),"Częściowy","Brak bezpośredniego kontaktu"))</x:f>
        <x:v>Brak bezpośredniego kontaktu</x:v>
      </x:c>
      <x:c r="U256" s="62" t="str">
        <x:v>Do weryfikacji</x:v>
      </x:c>
      <x:c r="V256" s="62" t="str">
        <x:v>BILLS — hurt@bills.pl</x:v>
      </x:c>
      <x:c r="W256" s="62" t="str">
        <x:v>Archiwum lub weryfikacja przy okazji</x:v>
      </x:c>
      <x:c r="X256" s="81" t="str">
        <x:f>IF(C256&gt;=82,'Model scoringu'!$B$4,IF(C256&gt;=72,'Model scoringu'!$B$5,IF(C256&gt;=58,'Model scoringu'!$B$6,"")))</x:f>
      </x:c>
      <x:c r="Y256" s="62" t="str">
        <x:v>Bezpośrednie dopasowanie do ryo/myo, gilz lub nabijarek.</x:v>
      </x:c>
      <x:c r="Z256" s="62" t="str">
        <x:v>https://www.shisha.pl</x:v>
      </x:c>
      <x:c r="AA256" s="62" t="str">
        <x:v>Dodane z wyników wyszukiwania dla niszowych słów (Powermatic, Shisha, bletki). | Status źródłowy: Aktywny</x:v>
      </x:c>
      <x:c r="AB256" s="50" t="n">
        <x:v>30</x:v>
      </x:c>
      <x:c r="AC256" s="50" t="n">
        <x:v>15</x:v>
      </x:c>
      <x:c r="AD256" s="50" t="n">
        <x:v>7</x:v>
      </x:c>
      <x:c r="AE256" s="50" t="n">
        <x:v>3</x:v>
      </x:c>
      <x:c r="AF256" s="50" t="n">
        <x:v>8</x:v>
      </x:c>
      <x:c r="AG256" s="50" t="n">
        <x:v>7</x:v>
      </x:c>
      <x:c r="AH256" s="57" t="n">
        <x:v>30</x:v>
      </x:c>
    </x:row>
    <x:row r="257" ht="34" customHeight="1">
      <x:c r="A257" s="87" t="n">
        <x:v>255</x:v>
      </x:c>
      <x:c r="B257" s="88" t="str">
        <x:f>IF(C257&gt;=82,"A"&amp;1&amp;" — kontakt natychmiast",IF(C257&gt;=72,"A"&amp;2&amp;" — kontakt w 7 dni",IF(C257&gt;=58,"B — kampania regionalna",IF(C257&gt;=42,"C — weryfikacja i nurturing","D — niski priorytet/wykluczyć"))))</x:f>
        <x:v>D — niski priorytet/wykluczyć</x:v>
      </x:c>
      <x:c r="C257" s="88" t="n">
        <x:f>MAX(0,MIN(100,SUM(AB257:AG257)-AH257))</x:f>
        <x:v>40</x:v>
      </x:c>
      <x:c r="D257" s="62" t="str">
        <x:v>Mercatohurt</x:v>
      </x:c>
      <x:c r="E257" s="62" t="str">
        <x:v>Potencjalny reseller / odbiorca hurtowy</x:v>
      </x:c>
      <x:c r="F257" s="62" t="str">
        <x:v>S1 — RYO/MYO, gilzy i nabijarki</x:v>
      </x:c>
      <x:c r="G257" s="62" t="str">
        <x:v>Hurt B2B regionalny</x:v>
      </x:c>
      <x:c r="H257" s="62" t="str">
        <x:v>Nieustalony</x:v>
      </x:c>
      <x:c r="I257" s="62" t="str"/>
      <x:c r="J257" s="62" t="str">
        <x:v>Nieustalona</x:v>
      </x:c>
      <x:c r="K257" s="62" t="str"/>
      <x:c r="L257" s="62" t="str"/>
      <x:c r="M257" s="62" t="str"/>
      <x:c r="N257" s="62" t="str"/>
      <x:c r="O257" s="62" t="str">
        <x:v>https://www.mercatohurt.pl</x:v>
      </x:c>
      <x:c r="P257" s="62" t="str"/>
      <x:c r="Q257" s="62" t="str"/>
      <x:c r="R257" s="62" t="str"/>
      <x:c r="S257" s="62" t="str">
        <x:v>Akcesoria Tytoniowe | Gilzy &amp; Filtry | Nabijarki &amp; Zwijarki</x:v>
      </x:c>
      <x:c r="T257" s="62" t="str">
        <x:f>IF(AND(K257&lt;&gt;"",L257&lt;&gt;"",O257&lt;&gt;""),"Pełny",IF(OR(K257&lt;&gt;"",L257&lt;&gt;""),"Częściowy","Brak bezpośredniego kontaktu"))</x:f>
        <x:v>Brak bezpośredniego kontaktu</x:v>
      </x:c>
      <x:c r="U257" s="62" t="str">
        <x:v>Do weryfikacji</x:v>
      </x:c>
      <x:c r="V257" s="62" t="str">
        <x:v>BILLS — hurt@bills.pl</x:v>
      </x:c>
      <x:c r="W257" s="62" t="str">
        <x:v>Archiwum lub weryfikacja przy okazji</x:v>
      </x:c>
      <x:c r="X257" s="81" t="str">
        <x:f>IF(C257&gt;=82,'Model scoringu'!$B$4,IF(C257&gt;=72,'Model scoringu'!$B$5,IF(C257&gt;=58,'Model scoringu'!$B$6,"")))</x:f>
      </x:c>
      <x:c r="Y257" s="62" t="str">
        <x:v>Bezpośrednie dopasowanie do ryo/myo, gilz lub nabijarek.</x:v>
      </x:c>
      <x:c r="Z257" s="62" t="str">
        <x:v>https://www.mercatohurt.pl</x:v>
      </x:c>
      <x:c r="AA257" s="62" t="str">
        <x:v>Dodane na prośbę użytkownika z wyników wyszukiwania (e-papierosy / nabijarki). | Status źródłowy: Aktywny</x:v>
      </x:c>
      <x:c r="AB257" s="50" t="n">
        <x:v>30</x:v>
      </x:c>
      <x:c r="AC257" s="50" t="n">
        <x:v>15</x:v>
      </x:c>
      <x:c r="AD257" s="50" t="n">
        <x:v>7</x:v>
      </x:c>
      <x:c r="AE257" s="50" t="n">
        <x:v>3</x:v>
      </x:c>
      <x:c r="AF257" s="50" t="n">
        <x:v>8</x:v>
      </x:c>
      <x:c r="AG257" s="50" t="n">
        <x:v>7</x:v>
      </x:c>
      <x:c r="AH257" s="57" t="n">
        <x:v>30</x:v>
      </x:c>
    </x:row>
    <x:row r="258" ht="34" customHeight="1">
      <x:c r="A258" s="87" t="n">
        <x:v>256</x:v>
      </x:c>
      <x:c r="B258" s="88" t="str">
        <x:f>IF(C258&gt;=82,"A"&amp;1&amp;" — kontakt natychmiast",IF(C258&gt;=72,"A"&amp;2&amp;" — kontakt w 7 dni",IF(C258&gt;=58,"B — kampania regionalna",IF(C258&gt;=42,"C — weryfikacja i nurturing","D — niski priorytet/wykluczyć"))))</x:f>
        <x:v>D — niski priorytet/wykluczyć</x:v>
      </x:c>
      <x:c r="C258" s="88" t="n">
        <x:f>MAX(0,MIN(100,SUM(AB258:AG258)-AH258))</x:f>
        <x:v>40</x:v>
      </x:c>
      <x:c r="D258" s="62" t="str">
        <x:v>Fumist</x:v>
      </x:c>
      <x:c r="E258" s="62" t="str">
        <x:v>Potencjalny reseller / odbiorca hurtowy</x:v>
      </x:c>
      <x:c r="F258" s="62" t="str">
        <x:v>S1 — RYO/MYO, gilzy i nabijarki</x:v>
      </x:c>
      <x:c r="G258" s="62" t="str">
        <x:v>Hurt B2B regionalny</x:v>
      </x:c>
      <x:c r="H258" s="62" t="str">
        <x:v>Nieustalony</x:v>
      </x:c>
      <x:c r="I258" s="62" t="str"/>
      <x:c r="J258" s="62" t="str">
        <x:v>Nieustalona</x:v>
      </x:c>
      <x:c r="K258" s="62" t="str"/>
      <x:c r="L258" s="62" t="str"/>
      <x:c r="M258" s="62" t="str"/>
      <x:c r="N258" s="62" t="str"/>
      <x:c r="O258" s="62" t="str">
        <x:v>https://www.fumist.pl</x:v>
      </x:c>
      <x:c r="P258" s="62" t="str"/>
      <x:c r="Q258" s="62" t="str"/>
      <x:c r="R258" s="62" t="str"/>
      <x:c r="S258" s="62" t="str">
        <x:v>Gilzy &amp; Filtry | Nabijarki &amp; Zwijarki</x:v>
      </x:c>
      <x:c r="T258" s="62" t="str">
        <x:f>IF(AND(K258&lt;&gt;"",L258&lt;&gt;"",O258&lt;&gt;""),"Pełny",IF(OR(K258&lt;&gt;"",L258&lt;&gt;""),"Częściowy","Brak bezpośredniego kontaktu"))</x:f>
        <x:v>Brak bezpośredniego kontaktu</x:v>
      </x:c>
      <x:c r="U258" s="62" t="str">
        <x:v>Do weryfikacji</x:v>
      </x:c>
      <x:c r="V258" s="62" t="str">
        <x:v>BILLS — hurt@bills.pl</x:v>
      </x:c>
      <x:c r="W258" s="62" t="str">
        <x:v>Archiwum lub weryfikacja przy okazji</x:v>
      </x:c>
      <x:c r="X258" s="81" t="str">
        <x:f>IF(C258&gt;=82,'Model scoringu'!$B$4,IF(C258&gt;=72,'Model scoringu'!$B$5,IF(C258&gt;=58,'Model scoringu'!$B$6,"")))</x:f>
      </x:c>
      <x:c r="Y258" s="62" t="str">
        <x:v>Bezpośrednie dopasowanie do ryo/myo, gilz lub nabijarek.</x:v>
      </x:c>
      <x:c r="Z258" s="62" t="str">
        <x:v>https://www.fumist.pl</x:v>
      </x:c>
      <x:c r="AA258" s="62" t="str">
        <x:v>Dodane na prośbę użytkownika z wyników wyszukiwania (e-papierosy / nabijarki). | Status źródłowy: Aktywny</x:v>
      </x:c>
      <x:c r="AB258" s="50" t="n">
        <x:v>30</x:v>
      </x:c>
      <x:c r="AC258" s="50" t="n">
        <x:v>15</x:v>
      </x:c>
      <x:c r="AD258" s="50" t="n">
        <x:v>7</x:v>
      </x:c>
      <x:c r="AE258" s="50" t="n">
        <x:v>3</x:v>
      </x:c>
      <x:c r="AF258" s="50" t="n">
        <x:v>8</x:v>
      </x:c>
      <x:c r="AG258" s="50" t="n">
        <x:v>7</x:v>
      </x:c>
      <x:c r="AH258" s="57" t="n">
        <x:v>30</x:v>
      </x:c>
    </x:row>
    <x:row r="259" ht="34" customHeight="1">
      <x:c r="A259" s="87" t="n">
        <x:v>257</x:v>
      </x:c>
      <x:c r="B259" s="88" t="str">
        <x:f>IF(C259&gt;=82,"A"&amp;1&amp;" — kontakt natychmiast",IF(C259&gt;=72,"A"&amp;2&amp;" — kontakt w 7 dni",IF(C259&gt;=58,"B — kampania regionalna",IF(C259&gt;=42,"C — weryfikacja i nurturing","D — niski priorytet/wykluczyć"))))</x:f>
        <x:v>D — niski priorytet/wykluczyć</x:v>
      </x:c>
      <x:c r="C259" s="88" t="n">
        <x:f>MAX(0,MIN(100,SUM(AB259:AG259)-AH259))</x:f>
        <x:v>40</x:v>
      </x:c>
      <x:c r="D259" s="62" t="str">
        <x:v>Fugo Group</x:v>
      </x:c>
      <x:c r="E259" s="62" t="str">
        <x:v>Potencjalny reseller / odbiorca hurtowy</x:v>
      </x:c>
      <x:c r="F259" s="62" t="str">
        <x:v>S1 — RYO/MYO, gilzy i nabijarki</x:v>
      </x:c>
      <x:c r="G259" s="62" t="str">
        <x:v>Hurt B2B regionalny</x:v>
      </x:c>
      <x:c r="H259" s="62" t="str">
        <x:v>Nieustalony</x:v>
      </x:c>
      <x:c r="I259" s="62" t="str"/>
      <x:c r="J259" s="62" t="str">
        <x:v>Nieustalona</x:v>
      </x:c>
      <x:c r="K259" s="62" t="str"/>
      <x:c r="L259" s="62" t="str"/>
      <x:c r="M259" s="62" t="str"/>
      <x:c r="N259" s="62" t="str"/>
      <x:c r="O259" s="62" t="str">
        <x:v>https://www.fugo-group.com</x:v>
      </x:c>
      <x:c r="P259" s="62" t="str"/>
      <x:c r="Q259" s="62" t="str"/>
      <x:c r="R259" s="62" t="str"/>
      <x:c r="S259" s="62" t="str">
        <x:v>Akcesoria Tytoniowe | Vape &amp; E-papierosy</x:v>
      </x:c>
      <x:c r="T259" s="62" t="str">
        <x:f>IF(AND(K259&lt;&gt;"",L259&lt;&gt;"",O259&lt;&gt;""),"Pełny",IF(OR(K259&lt;&gt;"",L259&lt;&gt;""),"Częściowy","Brak bezpośredniego kontaktu"))</x:f>
        <x:v>Brak bezpośredniego kontaktu</x:v>
      </x:c>
      <x:c r="U259" s="62" t="str">
        <x:v>Do weryfikacji</x:v>
      </x:c>
      <x:c r="V259" s="62" t="str">
        <x:v>BILLS — hurt@bills.pl</x:v>
      </x:c>
      <x:c r="W259" s="62" t="str">
        <x:v>Archiwum lub weryfikacja przy okazji</x:v>
      </x:c>
      <x:c r="X259" s="81" t="str">
        <x:f>IF(C259&gt;=82,'Model scoringu'!$B$4,IF(C259&gt;=72,'Model scoringu'!$B$5,IF(C259&gt;=58,'Model scoringu'!$B$6,"")))</x:f>
      </x:c>
      <x:c r="Y259" s="62" t="str">
        <x:v>Bezpośrednie dopasowanie do ryo/myo, gilz lub nabijarek.</x:v>
      </x:c>
      <x:c r="Z259" s="62" t="str">
        <x:v>https://www.fugo-group.com</x:v>
      </x:c>
      <x:c r="AA259" s="62" t="str">
        <x:v>Dodane z wyników wyszukiwania dla niszowych słów (Powermatic, Shisha, bletki). | Status źródłowy: Aktywny</x:v>
      </x:c>
      <x:c r="AB259" s="50" t="n">
        <x:v>30</x:v>
      </x:c>
      <x:c r="AC259" s="50" t="n">
        <x:v>15</x:v>
      </x:c>
      <x:c r="AD259" s="50" t="n">
        <x:v>7</x:v>
      </x:c>
      <x:c r="AE259" s="50" t="n">
        <x:v>3</x:v>
      </x:c>
      <x:c r="AF259" s="50" t="n">
        <x:v>8</x:v>
      </x:c>
      <x:c r="AG259" s="50" t="n">
        <x:v>7</x:v>
      </x:c>
      <x:c r="AH259" s="57" t="n">
        <x:v>30</x:v>
      </x:c>
    </x:row>
    <x:row r="260" ht="34" customHeight="1">
      <x:c r="A260" s="87" t="n">
        <x:v>258</x:v>
      </x:c>
      <x:c r="B260" s="88" t="str">
        <x:f>IF(C260&gt;=82,"A"&amp;1&amp;" — kontakt natychmiast",IF(C260&gt;=72,"A"&amp;2&amp;" — kontakt w 7 dni",IF(C260&gt;=58,"B — kampania regionalna",IF(C260&gt;=42,"C — weryfikacja i nurturing","D — niski priorytet/wykluczyć"))))</x:f>
        <x:v>D — niski priorytet/wykluczyć</x:v>
      </x:c>
      <x:c r="C260" s="88" t="n">
        <x:f>MAX(0,MIN(100,SUM(AB260:AG260)-AH260))</x:f>
        <x:v>40</x:v>
      </x:c>
      <x:c r="D260" s="62" t="str">
        <x:v>E-Dym</x:v>
      </x:c>
      <x:c r="E260" s="62" t="str">
        <x:v>Partner cross-sell / kanał sąsiedni</x:v>
      </x:c>
      <x:c r="F260" s="62" t="str">
        <x:v>S4 — Vape/e-papierosy</x:v>
      </x:c>
      <x:c r="G260" s="62" t="str">
        <x:v>Detal/e-commerce</x:v>
      </x:c>
      <x:c r="H260" s="62" t="str">
        <x:v>Nieustalony</x:v>
      </x:c>
      <x:c r="I260" s="62" t="str">
        <x:v>Warszawa/Gdańsk</x:v>
      </x:c>
      <x:c r="J260" s="62" t="str">
        <x:v>Nieustalona</x:v>
      </x:c>
      <x:c r="K260" s="62" t="str"/>
      <x:c r="L260" s="62" t="str"/>
      <x:c r="M260" s="62" t="str"/>
      <x:c r="N260" s="62" t="str"/>
      <x:c r="O260" s="62" t="str"/>
      <x:c r="P260" s="62" t="str"/>
      <x:c r="Q260" s="62" t="str"/>
      <x:c r="R260" s="62" t="str"/>
      <x:c r="S260" s="62" t="str">
        <x:v>Vape</x:v>
      </x:c>
      <x:c r="T260" s="62" t="str">
        <x:f>IF(AND(K260&lt;&gt;"",L260&lt;&gt;"",O260&lt;&gt;""),"Pełny",IF(OR(K260&lt;&gt;"",L260&lt;&gt;""),"Częściowy","Brak bezpośredniego kontaktu"))</x:f>
        <x:v>Brak bezpośredniego kontaktu</x:v>
      </x:c>
      <x:c r="U260" s="62" t="str">
        <x:v>Do weryfikacji</x:v>
      </x:c>
      <x:c r="V260" s="62" t="str">
        <x:v>BILLS — hurt@bills.pl</x:v>
      </x:c>
      <x:c r="W260" s="62" t="str">
        <x:v>Archiwum lub weryfikacja przy okazji</x:v>
      </x:c>
      <x:c r="X260" s="81" t="str">
        <x:f>IF(C260&gt;=82,'Model scoringu'!$B$4,IF(C260&gt;=72,'Model scoringu'!$B$5,IF(C260&gt;=58,'Model scoringu'!$B$6,"")))</x:f>
      </x:c>
      <x:c r="Y260" s="62" t="str">
        <x:v>Kanał sąsiedni z bazą klientów zainteresowanych produktami nikotynowymi.</x:v>
      </x:c>
      <x:c r="Z260" s="62" t="str"/>
      <x:c r="AA260" s="62" t="str">
        <x:v>Największa sieć vape z własnym B2B</x:v>
      </x:c>
      <x:c r="AB260" s="50" t="n">
        <x:v>11</x:v>
      </x:c>
      <x:c r="AC260" s="50" t="n">
        <x:v>7</x:v>
      </x:c>
      <x:c r="AD260" s="50" t="n">
        <x:v>7</x:v>
      </x:c>
      <x:c r="AE260" s="50" t="n">
        <x:v>0</x:v>
      </x:c>
      <x:c r="AF260" s="50" t="n">
        <x:v>10</x:v>
      </x:c>
      <x:c r="AG260" s="50" t="n">
        <x:v>5</x:v>
      </x:c>
      <x:c r="AH260" s="57" t="n">
        <x:v>0</x:v>
      </x:c>
    </x:row>
    <x:row r="261" ht="34" customHeight="1">
      <x:c r="A261" s="87" t="n">
        <x:v>259</x:v>
      </x:c>
      <x:c r="B261" s="88" t="str">
        <x:f>IF(C261&gt;=82,"A"&amp;1&amp;" — kontakt natychmiast",IF(C261&gt;=72,"A"&amp;2&amp;" — kontakt w 7 dni",IF(C261&gt;=58,"B — kampania regionalna",IF(C261&gt;=42,"C — weryfikacja i nurturing","D — niski priorytet/wykluczyć"))))</x:f>
        <x:v>D — niski priorytet/wykluczyć</x:v>
      </x:c>
      <x:c r="C261" s="88" t="n">
        <x:f>MAX(0,MIN(100,SUM(AB261:AG261)-AH261))</x:f>
        <x:v>38</x:v>
      </x:c>
      <x:c r="D261" s="62" t="str">
        <x:v>Wszystkodopalenia</x:v>
      </x:c>
      <x:c r="E261" s="62" t="str">
        <x:v>Potencjalny reseller / odbiorca hurtowy</x:v>
      </x:c>
      <x:c r="F261" s="62" t="str">
        <x:v>S3 — Akcesoria dla palaczy/headshop</x:v>
      </x:c>
      <x:c r="G261" s="62" t="str">
        <x:v>Hurt B2B regionalny</x:v>
      </x:c>
      <x:c r="H261" s="62" t="str">
        <x:v>Nieustalony</x:v>
      </x:c>
      <x:c r="I261" s="62" t="str"/>
      <x:c r="J261" s="62" t="str">
        <x:v>Nieustalona</x:v>
      </x:c>
      <x:c r="K261" s="62" t="str">
        <x:v>biuro@wszystkodopalenia.pl</x:v>
      </x:c>
      <x:c r="L261" s="62" t="str">
        <x:v>177339408</x:v>
      </x:c>
      <x:c r="M261" s="62" t="str"/>
      <x:c r="N261" s="62" t="str"/>
      <x:c r="O261" s="62" t="str">
        <x:v>https://www.wszystkodopalenia.pl</x:v>
      </x:c>
      <x:c r="P261" s="62" t="str"/>
      <x:c r="Q261" s="62" t="str">
        <x:v>6181914183</x:v>
      </x:c>
      <x:c r="R261" s="62" t="str">
        <x:v>0000119343</x:v>
      </x:c>
      <x:c r="S261" s="62" t="str">
        <x:v>Bibułki &amp; Bletki | Headshop (Bonga, Shisha)</x:v>
      </x:c>
      <x:c r="T261" s="62" t="str">
        <x:f>IF(AND(K261&lt;&gt;"",L261&lt;&gt;"",O261&lt;&gt;""),"Pełny",IF(OR(K261&lt;&gt;"",L261&lt;&gt;""),"Częściowy","Brak bezpośredniego kontaktu"))</x:f>
        <x:v>Pełny</x:v>
      </x:c>
      <x:c r="U261" s="62" t="str">
        <x:v>Do weryfikacji</x:v>
      </x:c>
      <x:c r="V261" s="62" t="str">
        <x:v>BILLS — hurt@bills.pl</x:v>
      </x:c>
      <x:c r="W261" s="62" t="str">
        <x:v>Archiwum lub weryfikacja przy okazji</x:v>
      </x:c>
      <x:c r="X261" s="81" t="str">
        <x:f>IF(C261&gt;=82,'Model scoringu'!$B$4,IF(C261&gt;=72,'Model scoringu'!$B$5,IF(C261&gt;=58,'Model scoringu'!$B$6,"")))</x:f>
      </x:c>
      <x:c r="Y261" s="62" t="str">
        <x:v>Sprzedaż komplementarnych akcesoriów dla palaczy.</x:v>
      </x:c>
      <x:c r="Z261" s="62" t="str">
        <x:v>https://www.wszystkodopalenia.pl</x:v>
      </x:c>
      <x:c r="AA261" s="62" t="str">
        <x:v>Dodane na prośbę użytkownika z wyników wyszukiwania (maszynki do skręcania). | Status źródłowy: Aktywny</x:v>
      </x:c>
      <x:c r="AB261" s="50" t="n">
        <x:v>18</x:v>
      </x:c>
      <x:c r="AC261" s="50" t="n">
        <x:v>15</x:v>
      </x:c>
      <x:c r="AD261" s="50" t="n">
        <x:v>7</x:v>
      </x:c>
      <x:c r="AE261" s="50" t="n">
        <x:v>13</x:v>
      </x:c>
      <x:c r="AF261" s="50" t="n">
        <x:v>8</x:v>
      </x:c>
      <x:c r="AG261" s="50" t="n">
        <x:v>7</x:v>
      </x:c>
      <x:c r="AH261" s="57" t="n">
        <x:v>30</x:v>
      </x:c>
    </x:row>
    <x:row r="262" ht="34" customHeight="1">
      <x:c r="A262" s="87" t="n">
        <x:v>260</x:v>
      </x:c>
      <x:c r="B262" s="88" t="str">
        <x:f>IF(C262&gt;=82,"A"&amp;1&amp;" — kontakt natychmiast",IF(C262&gt;=72,"A"&amp;2&amp;" — kontakt w 7 dni",IF(C262&gt;=58,"B — kampania regionalna",IF(C262&gt;=42,"C — weryfikacja i nurturing","D — niski priorytet/wykluczyć"))))</x:f>
        <x:v>D — niski priorytet/wykluczyć</x:v>
      </x:c>
      <x:c r="C262" s="88" t="n">
        <x:f>MAX(0,MIN(100,SUM(AB262:AG262)-AH262))</x:f>
        <x:v>38</x:v>
      </x:c>
      <x:c r="D262" s="62" t="str">
        <x:v>Weedpol</x:v>
      </x:c>
      <x:c r="E262" s="62" t="str">
        <x:v>Potencjalny reseller / odbiorca hurtowy</x:v>
      </x:c>
      <x:c r="F262" s="62" t="str">
        <x:v>S3 — Akcesoria dla palaczy/headshop</x:v>
      </x:c>
      <x:c r="G262" s="62" t="str">
        <x:v>Hurt B2B regionalny</x:v>
      </x:c>
      <x:c r="H262" s="62" t="str">
        <x:v>Nieustalony</x:v>
      </x:c>
      <x:c r="I262" s="62" t="str"/>
      <x:c r="J262" s="62" t="str">
        <x:v>Nieustalona</x:v>
      </x:c>
      <x:c r="K262" s="62" t="str">
        <x:v>biuro@weedpol.pl</x:v>
      </x:c>
      <x:c r="L262" s="62" t="str">
        <x:v>178432489</x:v>
      </x:c>
      <x:c r="M262" s="62" t="str"/>
      <x:c r="N262" s="62" t="str"/>
      <x:c r="O262" s="62" t="str">
        <x:v>https://www.weedpol.pl</x:v>
      </x:c>
      <x:c r="P262" s="62" t="str"/>
      <x:c r="Q262" s="62" t="str">
        <x:v>9542835071</x:v>
      </x:c>
      <x:c r="R262" s="62" t="str">
        <x:v>0000922075</x:v>
      </x:c>
      <x:c r="S262" s="62" t="str">
        <x:v>Akcesoria Tytoniowe</x:v>
      </x:c>
      <x:c r="T262" s="62" t="str">
        <x:f>IF(AND(K262&lt;&gt;"",L262&lt;&gt;"",O262&lt;&gt;""),"Pełny",IF(OR(K262&lt;&gt;"",L262&lt;&gt;""),"Częściowy","Brak bezpośredniego kontaktu"))</x:f>
        <x:v>Pełny</x:v>
      </x:c>
      <x:c r="U262" s="62" t="str">
        <x:v>Do weryfikacji</x:v>
      </x:c>
      <x:c r="V262" s="62" t="str">
        <x:v>BILLS — hurt@bills.pl</x:v>
      </x:c>
      <x:c r="W262" s="62" t="str">
        <x:v>Archiwum lub weryfikacja przy okazji</x:v>
      </x:c>
      <x:c r="X262" s="81" t="str">
        <x:f>IF(C262&gt;=82,'Model scoringu'!$B$4,IF(C262&gt;=72,'Model scoringu'!$B$5,IF(C262&gt;=58,'Model scoringu'!$B$6,"")))</x:f>
      </x:c>
      <x:c r="Y262" s="62" t="str">
        <x:v>Sprzedaż komplementarnych akcesoriów dla palaczy.</x:v>
      </x:c>
      <x:c r="Z262" s="62" t="str">
        <x:v>https://www.weedpol.pl</x:v>
      </x:c>
      <x:c r="AA262" s="62" t="str">
        <x:v>Automatycznie pobrane przez skrypt. | Status źródłowy: Aktywny</x:v>
      </x:c>
      <x:c r="AB262" s="50" t="n">
        <x:v>18</x:v>
      </x:c>
      <x:c r="AC262" s="50" t="n">
        <x:v>15</x:v>
      </x:c>
      <x:c r="AD262" s="50" t="n">
        <x:v>7</x:v>
      </x:c>
      <x:c r="AE262" s="50" t="n">
        <x:v>13</x:v>
      </x:c>
      <x:c r="AF262" s="50" t="n">
        <x:v>8</x:v>
      </x:c>
      <x:c r="AG262" s="50" t="n">
        <x:v>7</x:v>
      </x:c>
      <x:c r="AH262" s="57" t="n">
        <x:v>30</x:v>
      </x:c>
    </x:row>
    <x:row r="263" ht="34" customHeight="1">
      <x:c r="A263" s="87" t="n">
        <x:v>261</x:v>
      </x:c>
      <x:c r="B263" s="88" t="str">
        <x:f>IF(C263&gt;=82,"A"&amp;1&amp;" — kontakt natychmiast",IF(C263&gt;=72,"A"&amp;2&amp;" — kontakt w 7 dni",IF(C263&gt;=58,"B — kampania regionalna",IF(C263&gt;=42,"C — weryfikacja i nurturing","D — niski priorytet/wykluczyć"))))</x:f>
        <x:v>D — niski priorytet/wykluczyć</x:v>
      </x:c>
      <x:c r="C263" s="88" t="n">
        <x:f>MAX(0,MIN(100,SUM(AB263:AG263)-AH263))</x:f>
        <x:v>38</x:v>
      </x:c>
      <x:c r="D263" s="62" t="str">
        <x:v>Videodruk</x:v>
      </x:c>
      <x:c r="E263" s="62" t="str">
        <x:v>Potencjalny reseller / odbiorca hurtowy</x:v>
      </x:c>
      <x:c r="F263" s="62" t="str">
        <x:v>S3 — Akcesoria dla palaczy/headshop</x:v>
      </x:c>
      <x:c r="G263" s="62" t="str">
        <x:v>Hurt B2B regionalny</x:v>
      </x:c>
      <x:c r="H263" s="62" t="str">
        <x:v>Nieustalony</x:v>
      </x:c>
      <x:c r="I263" s="62" t="str"/>
      <x:c r="J263" s="62" t="str">
        <x:v>Nieustalona</x:v>
      </x:c>
      <x:c r="K263" s="62" t="str">
        <x:v>videodruk@videodruk.pl</x:v>
      </x:c>
      <x:c r="L263" s="62" t="str">
        <x:v>178343010</x:v>
      </x:c>
      <x:c r="M263" s="62" t="str"/>
      <x:c r="N263" s="62" t="str"/>
      <x:c r="O263" s="62" t="str">
        <x:v>https://www.videodruk.pl</x:v>
      </x:c>
      <x:c r="P263" s="62" t="str"/>
      <x:c r="Q263" s="62" t="str">
        <x:v>8981550803</x:v>
      </x:c>
      <x:c r="R263" s="62" t="str"/>
      <x:c r="S263" s="62" t="str">
        <x:v>Akcesoria Tytoniowe</x:v>
      </x:c>
      <x:c r="T263" s="62" t="str">
        <x:f>IF(AND(K263&lt;&gt;"",L263&lt;&gt;"",O263&lt;&gt;""),"Pełny",IF(OR(K263&lt;&gt;"",L263&lt;&gt;""),"Częściowy","Brak bezpośredniego kontaktu"))</x:f>
        <x:v>Pełny</x:v>
      </x:c>
      <x:c r="U263" s="62" t="str">
        <x:v>Do weryfikacji</x:v>
      </x:c>
      <x:c r="V263" s="62" t="str">
        <x:v>BILLS — hurt@bills.pl</x:v>
      </x:c>
      <x:c r="W263" s="62" t="str">
        <x:v>Archiwum lub weryfikacja przy okazji</x:v>
      </x:c>
      <x:c r="X263" s="81" t="str">
        <x:f>IF(C263&gt;=82,'Model scoringu'!$B$4,IF(C263&gt;=72,'Model scoringu'!$B$5,IF(C263&gt;=58,'Model scoringu'!$B$6,"")))</x:f>
      </x:c>
      <x:c r="Y263" s="62" t="str">
        <x:v>Sprzedaż komplementarnych akcesoriów dla palaczy.</x:v>
      </x:c>
      <x:c r="Z263" s="62" t="str">
        <x:v>https://www.videodruk.pl</x:v>
      </x:c>
      <x:c r="AA263" s="62" t="str">
        <x:v>Automatycznie pobrane przez skrypt. | Status źródłowy: Aktywny</x:v>
      </x:c>
      <x:c r="AB263" s="50" t="n">
        <x:v>18</x:v>
      </x:c>
      <x:c r="AC263" s="50" t="n">
        <x:v>15</x:v>
      </x:c>
      <x:c r="AD263" s="50" t="n">
        <x:v>7</x:v>
      </x:c>
      <x:c r="AE263" s="50" t="n">
        <x:v>13</x:v>
      </x:c>
      <x:c r="AF263" s="50" t="n">
        <x:v>8</x:v>
      </x:c>
      <x:c r="AG263" s="50" t="n">
        <x:v>7</x:v>
      </x:c>
      <x:c r="AH263" s="57" t="n">
        <x:v>30</x:v>
      </x:c>
    </x:row>
    <x:row r="264" ht="34" customHeight="1">
      <x:c r="A264" s="87" t="n">
        <x:v>262</x:v>
      </x:c>
      <x:c r="B264" s="88" t="str">
        <x:f>IF(C264&gt;=82,"A"&amp;1&amp;" — kontakt natychmiast",IF(C264&gt;=72,"A"&amp;2&amp;" — kontakt w 7 dni",IF(C264&gt;=58,"B — kampania regionalna",IF(C264&gt;=42,"C — weryfikacja i nurturing","D — niski priorytet/wykluczyć"))))</x:f>
        <x:v>D — niski priorytet/wykluczyć</x:v>
      </x:c>
      <x:c r="C264" s="88" t="n">
        <x:f>MAX(0,MIN(100,SUM(AB264:AG264)-AH264))</x:f>
        <x:v>38</x:v>
      </x:c>
      <x:c r="D264" s="62" t="str">
        <x:v>Trezo</x:v>
      </x:c>
      <x:c r="E264" s="62" t="str">
        <x:v>Potencjalny reseller / odbiorca hurtowy</x:v>
      </x:c>
      <x:c r="F264" s="62" t="str">
        <x:v>S3 — Akcesoria dla palaczy/headshop</x:v>
      </x:c>
      <x:c r="G264" s="62" t="str">
        <x:v>Hurt B2B regionalny</x:v>
      </x:c>
      <x:c r="H264" s="62" t="str">
        <x:v>Nieustalony</x:v>
      </x:c>
      <x:c r="I264" s="62" t="str"/>
      <x:c r="J264" s="62" t="str">
        <x:v>Nieustalona</x:v>
      </x:c>
      <x:c r="K264" s="62" t="str">
        <x:v>hello@trezo.pl</x:v>
      </x:c>
      <x:c r="L264" s="62" t="str">
        <x:v>617593773</x:v>
      </x:c>
      <x:c r="M264" s="62" t="str"/>
      <x:c r="N264" s="62" t="str"/>
      <x:c r="O264" s="62" t="str">
        <x:v>https://www.trezo.pl</x:v>
      </x:c>
      <x:c r="P264" s="62" t="str"/>
      <x:c r="Q264" s="62" t="str"/>
      <x:c r="R264" s="62" t="str"/>
      <x:c r="S264" s="62" t="str">
        <x:v>Web Scraped | Akcesoria tytoniowe</x:v>
      </x:c>
      <x:c r="T264" s="62" t="str">
        <x:f>IF(AND(K264&lt;&gt;"",L264&lt;&gt;"",O264&lt;&gt;""),"Pełny",IF(OR(K264&lt;&gt;"",L264&lt;&gt;""),"Częściowy","Brak bezpośredniego kontaktu"))</x:f>
        <x:v>Pełny</x:v>
      </x:c>
      <x:c r="U264" s="62" t="str">
        <x:v>Do weryfikacji</x:v>
      </x:c>
      <x:c r="V264" s="62" t="str">
        <x:v>BILLS — hurt@bills.pl</x:v>
      </x:c>
      <x:c r="W264" s="62" t="str">
        <x:v>Archiwum lub weryfikacja przy okazji</x:v>
      </x:c>
      <x:c r="X264" s="81" t="str">
        <x:f>IF(C264&gt;=82,'Model scoringu'!$B$4,IF(C264&gt;=72,'Model scoringu'!$B$5,IF(C264&gt;=58,'Model scoringu'!$B$6,"")))</x:f>
      </x:c>
      <x:c r="Y264" s="62" t="str">
        <x:v>Sprzedaż komplementarnych akcesoriów dla palaczy.</x:v>
      </x:c>
      <x:c r="Z264" s="62" t="str">
        <x:v>https://www.trezo.pl</x:v>
      </x:c>
      <x:c r="AA264" s="62" t="str">
        <x:v>Automatycznie pobrane przez skrypt. | Status źródłowy: Aktywny</x:v>
      </x:c>
      <x:c r="AB264" s="50" t="n">
        <x:v>18</x:v>
      </x:c>
      <x:c r="AC264" s="50" t="n">
        <x:v>15</x:v>
      </x:c>
      <x:c r="AD264" s="50" t="n">
        <x:v>7</x:v>
      </x:c>
      <x:c r="AE264" s="50" t="n">
        <x:v>13</x:v>
      </x:c>
      <x:c r="AF264" s="50" t="n">
        <x:v>8</x:v>
      </x:c>
      <x:c r="AG264" s="50" t="n">
        <x:v>7</x:v>
      </x:c>
      <x:c r="AH264" s="57" t="n">
        <x:v>30</x:v>
      </x:c>
    </x:row>
    <x:row r="265" ht="34" customHeight="1">
      <x:c r="A265" s="87" t="n">
        <x:v>263</x:v>
      </x:c>
      <x:c r="B265" s="88" t="str">
        <x:f>IF(C265&gt;=82,"A"&amp;1&amp;" — kontakt natychmiast",IF(C265&gt;=72,"A"&amp;2&amp;" — kontakt w 7 dni",IF(C265&gt;=58,"B — kampania regionalna",IF(C265&gt;=42,"C — weryfikacja i nurturing","D — niski priorytet/wykluczyć"))))</x:f>
        <x:v>D — niski priorytet/wykluczyć</x:v>
      </x:c>
      <x:c r="C265" s="88" t="n">
        <x:f>MAX(0,MIN(100,SUM(AB265:AG265)-AH265))</x:f>
        <x:v>38</x:v>
      </x:c>
      <x:c r="D265" s="62" t="str">
        <x:v>Trafika.Poznan</x:v>
      </x:c>
      <x:c r="E265" s="62" t="str">
        <x:v>Potencjalny reseller / odbiorca hurtowy</x:v>
      </x:c>
      <x:c r="F265" s="62" t="str">
        <x:v>S3 — Akcesoria dla palaczy/headshop</x:v>
      </x:c>
      <x:c r="G265" s="62" t="str">
        <x:v>Hurt B2B regionalny</x:v>
      </x:c>
      <x:c r="H265" s="62" t="str">
        <x:v>Nieustalony</x:v>
      </x:c>
      <x:c r="I265" s="62" t="str"/>
      <x:c r="J265" s="62" t="str">
        <x:v>Nieustalona</x:v>
      </x:c>
      <x:c r="K265" s="62" t="str">
        <x:v>sklep@trafika.poznan.pl</x:v>
      </x:c>
      <x:c r="L265" s="62" t="str">
        <x:v>+48 601 782601</x:v>
      </x:c>
      <x:c r="M265" s="62" t="str"/>
      <x:c r="N265" s="62" t="str"/>
      <x:c r="O265" s="62" t="str">
        <x:v>https://www.trafika.poznan.pl</x:v>
      </x:c>
      <x:c r="P265" s="62" t="str"/>
      <x:c r="Q265" s="62" t="str"/>
      <x:c r="R265" s="62" t="str"/>
      <x:c r="S265" s="62" t="str">
        <x:v>Akcesoria Tytoniowe</x:v>
      </x:c>
      <x:c r="T265" s="62" t="str">
        <x:f>IF(AND(K265&lt;&gt;"",L265&lt;&gt;"",O265&lt;&gt;""),"Pełny",IF(OR(K265&lt;&gt;"",L265&lt;&gt;""),"Częściowy","Brak bezpośredniego kontaktu"))</x:f>
        <x:v>Pełny</x:v>
      </x:c>
      <x:c r="U265" s="62" t="str">
        <x:v>Do weryfikacji</x:v>
      </x:c>
      <x:c r="V265" s="62" t="str">
        <x:v>BILLS — hurt@bills.pl</x:v>
      </x:c>
      <x:c r="W265" s="62" t="str">
        <x:v>Archiwum lub weryfikacja przy okazji</x:v>
      </x:c>
      <x:c r="X265" s="81" t="str">
        <x:f>IF(C265&gt;=82,'Model scoringu'!$B$4,IF(C265&gt;=72,'Model scoringu'!$B$5,IF(C265&gt;=58,'Model scoringu'!$B$6,"")))</x:f>
      </x:c>
      <x:c r="Y265" s="62" t="str">
        <x:v>Sprzedaż komplementarnych akcesoriów dla palaczy.</x:v>
      </x:c>
      <x:c r="Z265" s="62" t="str">
        <x:v>https://www.trafika.poznan.pl</x:v>
      </x:c>
      <x:c r="AA265" s="62" t="str">
        <x:v>Automatycznie pobrane przez skrypt. | Status źródłowy: Aktywny</x:v>
      </x:c>
      <x:c r="AB265" s="50" t="n">
        <x:v>18</x:v>
      </x:c>
      <x:c r="AC265" s="50" t="n">
        <x:v>15</x:v>
      </x:c>
      <x:c r="AD265" s="50" t="n">
        <x:v>7</x:v>
      </x:c>
      <x:c r="AE265" s="50" t="n">
        <x:v>13</x:v>
      </x:c>
      <x:c r="AF265" s="50" t="n">
        <x:v>8</x:v>
      </x:c>
      <x:c r="AG265" s="50" t="n">
        <x:v>7</x:v>
      </x:c>
      <x:c r="AH265" s="57" t="n">
        <x:v>30</x:v>
      </x:c>
    </x:row>
    <x:row r="266" ht="34" customHeight="1">
      <x:c r="A266" s="87" t="n">
        <x:v>264</x:v>
      </x:c>
      <x:c r="B266" s="88" t="str">
        <x:f>IF(C266&gt;=82,"A"&amp;1&amp;" — kontakt natychmiast",IF(C266&gt;=72,"A"&amp;2&amp;" — kontakt w 7 dni",IF(C266&gt;=58,"B — kampania regionalna",IF(C266&gt;=42,"C — weryfikacja i nurturing","D — niski priorytet/wykluczyć"))))</x:f>
        <x:v>D — niski priorytet/wykluczyć</x:v>
      </x:c>
      <x:c r="C266" s="88" t="n">
        <x:f>MAX(0,MIN(100,SUM(AB266:AG266)-AH266))</x:f>
        <x:v>38</x:v>
      </x:c>
      <x:c r="D266" s="62" t="str">
        <x:v>Taniegadzety</x:v>
      </x:c>
      <x:c r="E266" s="62" t="str">
        <x:v>Potencjalny reseller / odbiorca hurtowy</x:v>
      </x:c>
      <x:c r="F266" s="62" t="str">
        <x:v>S3 — Akcesoria dla palaczy/headshop</x:v>
      </x:c>
      <x:c r="G266" s="62" t="str">
        <x:v>Hurt B2B regionalny</x:v>
      </x:c>
      <x:c r="H266" s="62" t="str">
        <x:v>Nieustalony</x:v>
      </x:c>
      <x:c r="I266" s="62" t="str"/>
      <x:c r="J266" s="62" t="str">
        <x:v>Nieustalona</x:v>
      </x:c>
      <x:c r="K266" s="62" t="str">
        <x:v>sklep@taniegadzety.pl</x:v>
      </x:c>
      <x:c r="L266" s="62" t="str">
        <x:v>962319812</x:v>
      </x:c>
      <x:c r="M266" s="62" t="str"/>
      <x:c r="N266" s="62" t="str"/>
      <x:c r="O266" s="62" t="str">
        <x:v>https://www.taniegadzety.pl</x:v>
      </x:c>
      <x:c r="P266" s="62" t="str"/>
      <x:c r="Q266" s="62" t="str">
        <x:v>9241900827</x:v>
      </x:c>
      <x:c r="R266" s="62" t="str"/>
      <x:c r="S266" s="62" t="str">
        <x:v>Akcesoria Tytoniowe</x:v>
      </x:c>
      <x:c r="T266" s="62" t="str">
        <x:f>IF(AND(K266&lt;&gt;"",L266&lt;&gt;"",O266&lt;&gt;""),"Pełny",IF(OR(K266&lt;&gt;"",L266&lt;&gt;""),"Częściowy","Brak bezpośredniego kontaktu"))</x:f>
        <x:v>Pełny</x:v>
      </x:c>
      <x:c r="U266" s="62" t="str">
        <x:v>Do weryfikacji</x:v>
      </x:c>
      <x:c r="V266" s="62" t="str">
        <x:v>BILLS — hurt@bills.pl</x:v>
      </x:c>
      <x:c r="W266" s="62" t="str">
        <x:v>Archiwum lub weryfikacja przy okazji</x:v>
      </x:c>
      <x:c r="X266" s="81" t="str">
        <x:f>IF(C266&gt;=82,'Model scoringu'!$B$4,IF(C266&gt;=72,'Model scoringu'!$B$5,IF(C266&gt;=58,'Model scoringu'!$B$6,"")))</x:f>
      </x:c>
      <x:c r="Y266" s="62" t="str">
        <x:v>Sprzedaż komplementarnych akcesoriów dla palaczy.</x:v>
      </x:c>
      <x:c r="Z266" s="62" t="str">
        <x:v>https://www.taniegadzety.pl</x:v>
      </x:c>
      <x:c r="AA266" s="62" t="str">
        <x:v>Automatycznie pobrane przez skrypt. | Status źródłowy: Aktywny</x:v>
      </x:c>
      <x:c r="AB266" s="50" t="n">
        <x:v>18</x:v>
      </x:c>
      <x:c r="AC266" s="50" t="n">
        <x:v>15</x:v>
      </x:c>
      <x:c r="AD266" s="50" t="n">
        <x:v>7</x:v>
      </x:c>
      <x:c r="AE266" s="50" t="n">
        <x:v>13</x:v>
      </x:c>
      <x:c r="AF266" s="50" t="n">
        <x:v>8</x:v>
      </x:c>
      <x:c r="AG266" s="50" t="n">
        <x:v>7</x:v>
      </x:c>
      <x:c r="AH266" s="57" t="n">
        <x:v>30</x:v>
      </x:c>
    </x:row>
    <x:row r="267" ht="34" customHeight="1">
      <x:c r="A267" s="87" t="n">
        <x:v>265</x:v>
      </x:c>
      <x:c r="B267" s="88" t="str">
        <x:f>IF(C267&gt;=82,"A"&amp;1&amp;" — kontakt natychmiast",IF(C267&gt;=72,"A"&amp;2&amp;" — kontakt w 7 dni",IF(C267&gt;=58,"B — kampania regionalna",IF(C267&gt;=42,"C — weryfikacja i nurturing","D — niski priorytet/wykluczyć"))))</x:f>
        <x:v>D — niski priorytet/wykluczyć</x:v>
      </x:c>
      <x:c r="C267" s="88" t="n">
        <x:f>MAX(0,MIN(100,SUM(AB267:AG267)-AH267))</x:f>
        <x:v>38</x:v>
      </x:c>
      <x:c r="D267" s="62" t="str">
        <x:v>Swiatsloikow</x:v>
      </x:c>
      <x:c r="E267" s="62" t="str">
        <x:v>Potencjalny reseller / odbiorca hurtowy</x:v>
      </x:c>
      <x:c r="F267" s="62" t="str">
        <x:v>S3 — Akcesoria dla palaczy/headshop</x:v>
      </x:c>
      <x:c r="G267" s="62" t="str">
        <x:v>Hurt B2B regionalny</x:v>
      </x:c>
      <x:c r="H267" s="62" t="str">
        <x:v>Nieustalony</x:v>
      </x:c>
      <x:c r="I267" s="62" t="str"/>
      <x:c r="J267" s="62" t="str">
        <x:v>Nieustalona</x:v>
      </x:c>
      <x:c r="K267" s="62" t="str">
        <x:v>biuro@swiatsloikow.pl</x:v>
      </x:c>
      <x:c r="L267" s="62" t="str">
        <x:v>176423836</x:v>
      </x:c>
      <x:c r="M267" s="62" t="str"/>
      <x:c r="N267" s="62" t="str"/>
      <x:c r="O267" s="62" t="str">
        <x:v>https://www.swiatsloikow.pl</x:v>
      </x:c>
      <x:c r="P267" s="62" t="str"/>
      <x:c r="Q267" s="62" t="str">
        <x:v>7722429012</x:v>
      </x:c>
      <x:c r="R267" s="62" t="str">
        <x:v>0000990224</x:v>
      </x:c>
      <x:c r="S267" s="62" t="str">
        <x:v>Web Scraped | Akcesoria tytoniowe</x:v>
      </x:c>
      <x:c r="T267" s="62" t="str">
        <x:f>IF(AND(K267&lt;&gt;"",L267&lt;&gt;"",O267&lt;&gt;""),"Pełny",IF(OR(K267&lt;&gt;"",L267&lt;&gt;""),"Częściowy","Brak bezpośredniego kontaktu"))</x:f>
        <x:v>Pełny</x:v>
      </x:c>
      <x:c r="U267" s="62" t="str">
        <x:v>Do weryfikacji</x:v>
      </x:c>
      <x:c r="V267" s="62" t="str">
        <x:v>BILLS — hurt@bills.pl</x:v>
      </x:c>
      <x:c r="W267" s="62" t="str">
        <x:v>Archiwum lub weryfikacja przy okazji</x:v>
      </x:c>
      <x:c r="X267" s="81" t="str">
        <x:f>IF(C267&gt;=82,'Model scoringu'!$B$4,IF(C267&gt;=72,'Model scoringu'!$B$5,IF(C267&gt;=58,'Model scoringu'!$B$6,"")))</x:f>
      </x:c>
      <x:c r="Y267" s="62" t="str">
        <x:v>Sprzedaż komplementarnych akcesoriów dla palaczy.</x:v>
      </x:c>
      <x:c r="Z267" s="62" t="str">
        <x:v>https://www.swiatsloikow.pl</x:v>
      </x:c>
      <x:c r="AA267" s="62" t="str">
        <x:v>Automatycznie pobrane przez skrypt. | Status źródłowy: Aktywny</x:v>
      </x:c>
      <x:c r="AB267" s="50" t="n">
        <x:v>18</x:v>
      </x:c>
      <x:c r="AC267" s="50" t="n">
        <x:v>15</x:v>
      </x:c>
      <x:c r="AD267" s="50" t="n">
        <x:v>7</x:v>
      </x:c>
      <x:c r="AE267" s="50" t="n">
        <x:v>13</x:v>
      </x:c>
      <x:c r="AF267" s="50" t="n">
        <x:v>8</x:v>
      </x:c>
      <x:c r="AG267" s="50" t="n">
        <x:v>7</x:v>
      </x:c>
      <x:c r="AH267" s="57" t="n">
        <x:v>30</x:v>
      </x:c>
    </x:row>
    <x:row r="268" ht="34" customHeight="1">
      <x:c r="A268" s="87" t="n">
        <x:v>266</x:v>
      </x:c>
      <x:c r="B268" s="88" t="str">
        <x:f>IF(C268&gt;=82,"A"&amp;1&amp;" — kontakt natychmiast",IF(C268&gt;=72,"A"&amp;2&amp;" — kontakt w 7 dni",IF(C268&gt;=58,"B — kampania regionalna",IF(C268&gt;=42,"C — weryfikacja i nurturing","D — niski priorytet/wykluczyć"))))</x:f>
        <x:v>D — niski priorytet/wykluczyć</x:v>
      </x:c>
      <x:c r="C268" s="88" t="n">
        <x:f>MAX(0,MIN(100,SUM(AB268:AG268)-AH268))</x:f>
        <x:v>38</x:v>
      </x:c>
      <x:c r="D268" s="62" t="str">
        <x:v>Sklepsativa</x:v>
      </x:c>
      <x:c r="E268" s="62" t="str">
        <x:v>Potencjalny reseller / odbiorca hurtowy</x:v>
      </x:c>
      <x:c r="F268" s="62" t="str">
        <x:v>S3 — Akcesoria dla palaczy/headshop</x:v>
      </x:c>
      <x:c r="G268" s="62" t="str">
        <x:v>Hurt B2B regionalny</x:v>
      </x:c>
      <x:c r="H268" s="62" t="str">
        <x:v>Nieustalony</x:v>
      </x:c>
      <x:c r="I268" s="62" t="str"/>
      <x:c r="J268" s="62" t="str">
        <x:v>Nieustalona</x:v>
      </x:c>
      <x:c r="K268" s="62" t="str">
        <x:v>biuro@sativa-poland.pl</x:v>
      </x:c>
      <x:c r="L268" s="62" t="str">
        <x:v>158370584</x:v>
      </x:c>
      <x:c r="M268" s="62" t="str"/>
      <x:c r="N268" s="62" t="str"/>
      <x:c r="O268" s="62" t="str">
        <x:v>https://www.sklepsativa.pl</x:v>
      </x:c>
      <x:c r="P268" s="62" t="str"/>
      <x:c r="Q268" s="62" t="str"/>
      <x:c r="R268" s="62" t="str"/>
      <x:c r="S268" s="62" t="str">
        <x:v>Akcesoria Tytoniowe</x:v>
      </x:c>
      <x:c r="T268" s="62" t="str">
        <x:f>IF(AND(K268&lt;&gt;"",L268&lt;&gt;"",O268&lt;&gt;""),"Pełny",IF(OR(K268&lt;&gt;"",L268&lt;&gt;""),"Częściowy","Brak bezpośredniego kontaktu"))</x:f>
        <x:v>Pełny</x:v>
      </x:c>
      <x:c r="U268" s="62" t="str">
        <x:v>Do weryfikacji</x:v>
      </x:c>
      <x:c r="V268" s="62" t="str">
        <x:v>BILLS — hurt@bills.pl</x:v>
      </x:c>
      <x:c r="W268" s="62" t="str">
        <x:v>Archiwum lub weryfikacja przy okazji</x:v>
      </x:c>
      <x:c r="X268" s="81" t="str">
        <x:f>IF(C268&gt;=82,'Model scoringu'!$B$4,IF(C268&gt;=72,'Model scoringu'!$B$5,IF(C268&gt;=58,'Model scoringu'!$B$6,"")))</x:f>
      </x:c>
      <x:c r="Y268" s="62" t="str">
        <x:v>Sprzedaż komplementarnych akcesoriów dla palaczy.</x:v>
      </x:c>
      <x:c r="Z268" s="62" t="str">
        <x:v>https://www.sklepsativa.pl</x:v>
      </x:c>
      <x:c r="AA268" s="62" t="str">
        <x:v>Automatycznie pobrane przez skrypt. | Status źródłowy: Aktywny</x:v>
      </x:c>
      <x:c r="AB268" s="50" t="n">
        <x:v>18</x:v>
      </x:c>
      <x:c r="AC268" s="50" t="n">
        <x:v>15</x:v>
      </x:c>
      <x:c r="AD268" s="50" t="n">
        <x:v>7</x:v>
      </x:c>
      <x:c r="AE268" s="50" t="n">
        <x:v>13</x:v>
      </x:c>
      <x:c r="AF268" s="50" t="n">
        <x:v>8</x:v>
      </x:c>
      <x:c r="AG268" s="50" t="n">
        <x:v>7</x:v>
      </x:c>
      <x:c r="AH268" s="57" t="n">
        <x:v>30</x:v>
      </x:c>
    </x:row>
    <x:row r="269" ht="34" customHeight="1">
      <x:c r="A269" s="87" t="n">
        <x:v>267</x:v>
      </x:c>
      <x:c r="B269" s="88" t="str">
        <x:f>IF(C269&gt;=82,"A"&amp;1&amp;" — kontakt natychmiast",IF(C269&gt;=72,"A"&amp;2&amp;" — kontakt w 7 dni",IF(C269&gt;=58,"B — kampania regionalna",IF(C269&gt;=42,"C — weryfikacja i nurturing","D — niski priorytet/wykluczyć"))))</x:f>
        <x:v>D — niski priorytet/wykluczyć</x:v>
      </x:c>
      <x:c r="C269" s="88" t="n">
        <x:f>MAX(0,MIN(100,SUM(AB269:AG269)-AH269))</x:f>
        <x:v>38</x:v>
      </x:c>
      <x:c r="D269" s="62" t="str">
        <x:v>Reklamydrukarnia</x:v>
      </x:c>
      <x:c r="E269" s="62" t="str">
        <x:v>Potencjalny reseller / odbiorca hurtowy</x:v>
      </x:c>
      <x:c r="F269" s="62" t="str">
        <x:v>S3 — Akcesoria dla palaczy/headshop</x:v>
      </x:c>
      <x:c r="G269" s="62" t="str">
        <x:v>Hurt B2B regionalny</x:v>
      </x:c>
      <x:c r="H269" s="62" t="str">
        <x:v>Nieustalony</x:v>
      </x:c>
      <x:c r="I269" s="62" t="str"/>
      <x:c r="J269" s="62" t="str">
        <x:v>Nieustalona</x:v>
      </x:c>
      <x:c r="K269" s="62" t="str">
        <x:v>sklep@reklamydrukarnia.pl</x:v>
      </x:c>
      <x:c r="L269" s="62" t="str">
        <x:v>178443772</x:v>
      </x:c>
      <x:c r="M269" s="62" t="str"/>
      <x:c r="N269" s="62" t="str"/>
      <x:c r="O269" s="62" t="str">
        <x:v>https://www.reklamydrukarnia.pl</x:v>
      </x:c>
      <x:c r="P269" s="62" t="str"/>
      <x:c r="Q269" s="62" t="str">
        <x:v>6731895871</x:v>
      </x:c>
      <x:c r="R269" s="62" t="str">
        <x:v>0000420974</x:v>
      </x:c>
      <x:c r="S269" s="62" t="str">
        <x:v>Akcesoria Tytoniowe</x:v>
      </x:c>
      <x:c r="T269" s="62" t="str">
        <x:f>IF(AND(K269&lt;&gt;"",L269&lt;&gt;"",O269&lt;&gt;""),"Pełny",IF(OR(K269&lt;&gt;"",L269&lt;&gt;""),"Częściowy","Brak bezpośredniego kontaktu"))</x:f>
        <x:v>Pełny</x:v>
      </x:c>
      <x:c r="U269" s="62" t="str">
        <x:v>Do weryfikacji</x:v>
      </x:c>
      <x:c r="V269" s="62" t="str">
        <x:v>BILLS — hurt@bills.pl</x:v>
      </x:c>
      <x:c r="W269" s="62" t="str">
        <x:v>Archiwum lub weryfikacja przy okazji</x:v>
      </x:c>
      <x:c r="X269" s="81" t="str">
        <x:f>IF(C269&gt;=82,'Model scoringu'!$B$4,IF(C269&gt;=72,'Model scoringu'!$B$5,IF(C269&gt;=58,'Model scoringu'!$B$6,"")))</x:f>
      </x:c>
      <x:c r="Y269" s="62" t="str">
        <x:v>Sprzedaż komplementarnych akcesoriów dla palaczy.</x:v>
      </x:c>
      <x:c r="Z269" s="62" t="str">
        <x:v>https://www.reklamydrukarnia.pl</x:v>
      </x:c>
      <x:c r="AA269" s="62" t="str">
        <x:v>Automatycznie pobrane przez skrypt. | Status źródłowy: Aktywny</x:v>
      </x:c>
      <x:c r="AB269" s="50" t="n">
        <x:v>18</x:v>
      </x:c>
      <x:c r="AC269" s="50" t="n">
        <x:v>15</x:v>
      </x:c>
      <x:c r="AD269" s="50" t="n">
        <x:v>7</x:v>
      </x:c>
      <x:c r="AE269" s="50" t="n">
        <x:v>13</x:v>
      </x:c>
      <x:c r="AF269" s="50" t="n">
        <x:v>8</x:v>
      </x:c>
      <x:c r="AG269" s="50" t="n">
        <x:v>7</x:v>
      </x:c>
      <x:c r="AH269" s="57" t="n">
        <x:v>30</x:v>
      </x:c>
    </x:row>
    <x:row r="270" ht="34" customHeight="1">
      <x:c r="A270" s="87" t="n">
        <x:v>268</x:v>
      </x:c>
      <x:c r="B270" s="88" t="str">
        <x:f>IF(C270&gt;=82,"A"&amp;1&amp;" — kontakt natychmiast",IF(C270&gt;=72,"A"&amp;2&amp;" — kontakt w 7 dni",IF(C270&gt;=58,"B — kampania regionalna",IF(C270&gt;=42,"C — weryfikacja i nurturing","D — niski priorytet/wykluczyć"))))</x:f>
        <x:v>D — niski priorytet/wykluczyć</x:v>
      </x:c>
      <x:c r="C270" s="88" t="n">
        <x:f>MAX(0,MIN(100,SUM(AB270:AG270)-AH270))</x:f>
        <x:v>38</x:v>
      </x:c>
      <x:c r="D270" s="62" t="str">
        <x:v>Promoshop</x:v>
      </x:c>
      <x:c r="E270" s="62" t="str">
        <x:v>Potencjalny reseller / odbiorca hurtowy</x:v>
      </x:c>
      <x:c r="F270" s="62" t="str">
        <x:v>S3 — Akcesoria dla palaczy/headshop</x:v>
      </x:c>
      <x:c r="G270" s="62" t="str">
        <x:v>Hurt B2B regionalny</x:v>
      </x:c>
      <x:c r="H270" s="62" t="str">
        <x:v>Nieustalony</x:v>
      </x:c>
      <x:c r="I270" s="62" t="str"/>
      <x:c r="J270" s="62" t="str">
        <x:v>Nieustalona</x:v>
      </x:c>
      <x:c r="K270" s="62" t="str">
        <x:v>zapytania@promoshop.pl</x:v>
      </x:c>
      <x:c r="L270" s="62" t="str">
        <x:v>+48914040557</x:v>
      </x:c>
      <x:c r="M270" s="62" t="str"/>
      <x:c r="N270" s="62" t="str"/>
      <x:c r="O270" s="62" t="str">
        <x:v>https://www.promoshop.pl</x:v>
      </x:c>
      <x:c r="P270" s="62" t="str"/>
      <x:c r="Q270" s="62" t="str">
        <x:v>8511116127</x:v>
      </x:c>
      <x:c r="R270" s="62" t="str"/>
      <x:c r="S270" s="62" t="str">
        <x:v>Akcesoria Tytoniowe</x:v>
      </x:c>
      <x:c r="T270" s="62" t="str">
        <x:f>IF(AND(K270&lt;&gt;"",L270&lt;&gt;"",O270&lt;&gt;""),"Pełny",IF(OR(K270&lt;&gt;"",L270&lt;&gt;""),"Częściowy","Brak bezpośredniego kontaktu"))</x:f>
        <x:v>Pełny</x:v>
      </x:c>
      <x:c r="U270" s="62" t="str">
        <x:v>Do weryfikacji</x:v>
      </x:c>
      <x:c r="V270" s="62" t="str">
        <x:v>BILLS — hurt@bills.pl</x:v>
      </x:c>
      <x:c r="W270" s="62" t="str">
        <x:v>Archiwum lub weryfikacja przy okazji</x:v>
      </x:c>
      <x:c r="X270" s="81" t="str">
        <x:f>IF(C270&gt;=82,'Model scoringu'!$B$4,IF(C270&gt;=72,'Model scoringu'!$B$5,IF(C270&gt;=58,'Model scoringu'!$B$6,"")))</x:f>
      </x:c>
      <x:c r="Y270" s="62" t="str">
        <x:v>Sprzedaż komplementarnych akcesoriów dla palaczy.</x:v>
      </x:c>
      <x:c r="Z270" s="62" t="str">
        <x:v>https://www.promoshop.pl</x:v>
      </x:c>
      <x:c r="AA270" s="62" t="str">
        <x:v>Automatycznie pobrane przez skrypt. | Status źródłowy: Aktywny</x:v>
      </x:c>
      <x:c r="AB270" s="50" t="n">
        <x:v>18</x:v>
      </x:c>
      <x:c r="AC270" s="50" t="n">
        <x:v>15</x:v>
      </x:c>
      <x:c r="AD270" s="50" t="n">
        <x:v>7</x:v>
      </x:c>
      <x:c r="AE270" s="50" t="n">
        <x:v>13</x:v>
      </x:c>
      <x:c r="AF270" s="50" t="n">
        <x:v>8</x:v>
      </x:c>
      <x:c r="AG270" s="50" t="n">
        <x:v>7</x:v>
      </x:c>
      <x:c r="AH270" s="57" t="n">
        <x:v>30</x:v>
      </x:c>
    </x:row>
    <x:row r="271" ht="34" customHeight="1">
      <x:c r="A271" s="87" t="n">
        <x:v>269</x:v>
      </x:c>
      <x:c r="B271" s="88" t="str">
        <x:f>IF(C271&gt;=82,"A"&amp;1&amp;" — kontakt natychmiast",IF(C271&gt;=72,"A"&amp;2&amp;" — kontakt w 7 dni",IF(C271&gt;=58,"B — kampania regionalna",IF(C271&gt;=42,"C — weryfikacja i nurturing","D — niski priorytet/wykluczyć"))))</x:f>
        <x:v>D — niski priorytet/wykluczyć</x:v>
      </x:c>
      <x:c r="C271" s="88" t="n">
        <x:f>MAX(0,MIN(100,SUM(AB271:AG271)-AH271))</x:f>
        <x:v>38</x:v>
      </x:c>
      <x:c r="D271" s="62" t="str">
        <x:v>Pozytywnekonopie</x:v>
      </x:c>
      <x:c r="E271" s="62" t="str">
        <x:v>Potencjalny reseller / odbiorca hurtowy</x:v>
      </x:c>
      <x:c r="F271" s="62" t="str">
        <x:v>S3 — Akcesoria dla palaczy/headshop</x:v>
      </x:c>
      <x:c r="G271" s="62" t="str">
        <x:v>Hurt B2B regionalny</x:v>
      </x:c>
      <x:c r="H271" s="62" t="str">
        <x:v>Nieustalony</x:v>
      </x:c>
      <x:c r="I271" s="62" t="str"/>
      <x:c r="J271" s="62" t="str">
        <x:v>Nieustalona</x:v>
      </x:c>
      <x:c r="K271" s="62" t="str">
        <x:v>info@pozytywnekonopie.pl</x:v>
      </x:c>
      <x:c r="L271" s="62" t="str">
        <x:v>177909333</x:v>
      </x:c>
      <x:c r="M271" s="62" t="str"/>
      <x:c r="N271" s="62" t="str"/>
      <x:c r="O271" s="62" t="str">
        <x:v>https://www.pozytywnekonopie.pl</x:v>
      </x:c>
      <x:c r="P271" s="62" t="str"/>
      <x:c r="Q271" s="62" t="str">
        <x:v>7011140820</x:v>
      </x:c>
      <x:c r="R271" s="62" t="str">
        <x:v>0001031334</x:v>
      </x:c>
      <x:c r="S271" s="62" t="str">
        <x:v>Akcesoria Tytoniowe</x:v>
      </x:c>
      <x:c r="T271" s="62" t="str">
        <x:f>IF(AND(K271&lt;&gt;"",L271&lt;&gt;"",O271&lt;&gt;""),"Pełny",IF(OR(K271&lt;&gt;"",L271&lt;&gt;""),"Częściowy","Brak bezpośredniego kontaktu"))</x:f>
        <x:v>Pełny</x:v>
      </x:c>
      <x:c r="U271" s="62" t="str">
        <x:v>Do weryfikacji</x:v>
      </x:c>
      <x:c r="V271" s="62" t="str">
        <x:v>BILLS — hurt@bills.pl</x:v>
      </x:c>
      <x:c r="W271" s="62" t="str">
        <x:v>Archiwum lub weryfikacja przy okazji</x:v>
      </x:c>
      <x:c r="X271" s="81" t="str">
        <x:f>IF(C271&gt;=82,'Model scoringu'!$B$4,IF(C271&gt;=72,'Model scoringu'!$B$5,IF(C271&gt;=58,'Model scoringu'!$B$6,"")))</x:f>
      </x:c>
      <x:c r="Y271" s="62" t="str">
        <x:v>Sprzedaż komplementarnych akcesoriów dla palaczy.</x:v>
      </x:c>
      <x:c r="Z271" s="62" t="str">
        <x:v>https://www.pozytywnekonopie.pl</x:v>
      </x:c>
      <x:c r="AA271" s="62" t="str">
        <x:v>Automatycznie pobrane przez skrypt. | Status źródłowy: Aktywny</x:v>
      </x:c>
      <x:c r="AB271" s="50" t="n">
        <x:v>18</x:v>
      </x:c>
      <x:c r="AC271" s="50" t="n">
        <x:v>15</x:v>
      </x:c>
      <x:c r="AD271" s="50" t="n">
        <x:v>7</x:v>
      </x:c>
      <x:c r="AE271" s="50" t="n">
        <x:v>13</x:v>
      </x:c>
      <x:c r="AF271" s="50" t="n">
        <x:v>8</x:v>
      </x:c>
      <x:c r="AG271" s="50" t="n">
        <x:v>7</x:v>
      </x:c>
      <x:c r="AH271" s="57" t="n">
        <x:v>30</x:v>
      </x:c>
    </x:row>
    <x:row r="272" ht="34" customHeight="1">
      <x:c r="A272" s="87" t="n">
        <x:v>270</x:v>
      </x:c>
      <x:c r="B272" s="88" t="str">
        <x:f>IF(C272&gt;=82,"A"&amp;1&amp;" — kontakt natychmiast",IF(C272&gt;=72,"A"&amp;2&amp;" — kontakt w 7 dni",IF(C272&gt;=58,"B — kampania regionalna",IF(C272&gt;=42,"C — weryfikacja i nurturing","D — niski priorytet/wykluczyć"))))</x:f>
        <x:v>D — niski priorytet/wykluczyć</x:v>
      </x:c>
      <x:c r="C272" s="88" t="n">
        <x:f>MAX(0,MIN(100,SUM(AB272:AG272)-AH272))</x:f>
        <x:v>38</x:v>
      </x:c>
      <x:c r="D272" s="62" t="str">
        <x:v>Pdhurt</x:v>
      </x:c>
      <x:c r="E272" s="62" t="str">
        <x:v>Potencjalny reseller / odbiorca hurtowy</x:v>
      </x:c>
      <x:c r="F272" s="62" t="str">
        <x:v>S3 — Akcesoria dla palaczy/headshop</x:v>
      </x:c>
      <x:c r="G272" s="62" t="str">
        <x:v>Hurt B2B regionalny</x:v>
      </x:c>
      <x:c r="H272" s="62" t="str">
        <x:v>Nieustalony</x:v>
      </x:c>
      <x:c r="I272" s="62" t="str"/>
      <x:c r="J272" s="62" t="str">
        <x:v>Nieustalona</x:v>
      </x:c>
      <x:c r="K272" s="62" t="str">
        <x:v>biuro@pdhurt.pl</x:v>
      </x:c>
      <x:c r="L272" s="62" t="str">
        <x:v>333333333</x:v>
      </x:c>
      <x:c r="M272" s="62" t="str"/>
      <x:c r="N272" s="62" t="str"/>
      <x:c r="O272" s="62" t="str">
        <x:v>https://www.pdhurt.pl</x:v>
      </x:c>
      <x:c r="P272" s="62" t="str"/>
      <x:c r="Q272" s="62" t="str"/>
      <x:c r="R272" s="62" t="str"/>
      <x:c r="S272" s="62" t="str">
        <x:v>Akcesoria Tytoniowe</x:v>
      </x:c>
      <x:c r="T272" s="62" t="str">
        <x:f>IF(AND(K272&lt;&gt;"",L272&lt;&gt;"",O272&lt;&gt;""),"Pełny",IF(OR(K272&lt;&gt;"",L272&lt;&gt;""),"Częściowy","Brak bezpośredniego kontaktu"))</x:f>
        <x:v>Pełny</x:v>
      </x:c>
      <x:c r="U272" s="62" t="str">
        <x:v>Do weryfikacji</x:v>
      </x:c>
      <x:c r="V272" s="62" t="str">
        <x:v>BILLS — hurt@bills.pl</x:v>
      </x:c>
      <x:c r="W272" s="62" t="str">
        <x:v>Archiwum lub weryfikacja przy okazji</x:v>
      </x:c>
      <x:c r="X272" s="81" t="str">
        <x:f>IF(C272&gt;=82,'Model scoringu'!$B$4,IF(C272&gt;=72,'Model scoringu'!$B$5,IF(C272&gt;=58,'Model scoringu'!$B$6,"")))</x:f>
      </x:c>
      <x:c r="Y272" s="62" t="str">
        <x:v>Sprzedaż komplementarnych akcesoriów dla palaczy.</x:v>
      </x:c>
      <x:c r="Z272" s="62" t="str">
        <x:v>https://www.pdhurt.pl</x:v>
      </x:c>
      <x:c r="AA272" s="62" t="str">
        <x:v>Automatycznie pobrane przez skrypt. | Status źródłowy: Aktywny</x:v>
      </x:c>
      <x:c r="AB272" s="50" t="n">
        <x:v>18</x:v>
      </x:c>
      <x:c r="AC272" s="50" t="n">
        <x:v>15</x:v>
      </x:c>
      <x:c r="AD272" s="50" t="n">
        <x:v>7</x:v>
      </x:c>
      <x:c r="AE272" s="50" t="n">
        <x:v>13</x:v>
      </x:c>
      <x:c r="AF272" s="50" t="n">
        <x:v>8</x:v>
      </x:c>
      <x:c r="AG272" s="50" t="n">
        <x:v>7</x:v>
      </x:c>
      <x:c r="AH272" s="57" t="n">
        <x:v>30</x:v>
      </x:c>
    </x:row>
    <x:row r="273" ht="34" customHeight="1">
      <x:c r="A273" s="87" t="n">
        <x:v>271</x:v>
      </x:c>
      <x:c r="B273" s="88" t="str">
        <x:f>IF(C273&gt;=82,"A"&amp;1&amp;" — kontakt natychmiast",IF(C273&gt;=72,"A"&amp;2&amp;" — kontakt w 7 dni",IF(C273&gt;=58,"B — kampania regionalna",IF(C273&gt;=42,"C — weryfikacja i nurturing","D — niski priorytet/wykluczyć"))))</x:f>
        <x:v>D — niski priorytet/wykluczyć</x:v>
      </x:c>
      <x:c r="C273" s="88" t="n">
        <x:f>MAX(0,MIN(100,SUM(AB273:AG273)-AH273))</x:f>
        <x:v>38</x:v>
      </x:c>
      <x:c r="D273" s="62" t="str">
        <x:v>Palender</x:v>
      </x:c>
      <x:c r="E273" s="62" t="str">
        <x:v>Potencjalny reseller / odbiorca hurtowy</x:v>
      </x:c>
      <x:c r="F273" s="62" t="str">
        <x:v>S3 — Akcesoria dla palaczy/headshop</x:v>
      </x:c>
      <x:c r="G273" s="62" t="str">
        <x:v>Hurt B2B regionalny</x:v>
      </x:c>
      <x:c r="H273" s="62" t="str">
        <x:v>Nieustalony</x:v>
      </x:c>
      <x:c r="I273" s="62" t="str"/>
      <x:c r="J273" s="62" t="str">
        <x:v>Nieustalona</x:v>
      </x:c>
      <x:c r="K273" s="62" t="str">
        <x:v>palender@wp.pl</x:v>
      </x:c>
      <x:c r="L273" s="62" t="str">
        <x:v>574207738</x:v>
      </x:c>
      <x:c r="M273" s="62" t="str"/>
      <x:c r="N273" s="62" t="str"/>
      <x:c r="O273" s="62" t="str">
        <x:v>https://www.palender.pl</x:v>
      </x:c>
      <x:c r="P273" s="62" t="str"/>
      <x:c r="Q273" s="62" t="str">
        <x:v>5742077383</x:v>
      </x:c>
      <x:c r="R273" s="62" t="str"/>
      <x:c r="S273" s="62" t="str">
        <x:v>Bibułki &amp; Bletki | Headshop (Bonga, Shisha)</x:v>
      </x:c>
      <x:c r="T273" s="62" t="str">
        <x:f>IF(AND(K273&lt;&gt;"",L273&lt;&gt;"",O273&lt;&gt;""),"Pełny",IF(OR(K273&lt;&gt;"",L273&lt;&gt;""),"Częściowy","Brak bezpośredniego kontaktu"))</x:f>
        <x:v>Pełny</x:v>
      </x:c>
      <x:c r="U273" s="62" t="str">
        <x:v>Do weryfikacji</x:v>
      </x:c>
      <x:c r="V273" s="62" t="str">
        <x:v>BILLS — hurt@bills.pl</x:v>
      </x:c>
      <x:c r="W273" s="62" t="str">
        <x:v>Archiwum lub weryfikacja przy okazji</x:v>
      </x:c>
      <x:c r="X273" s="81" t="str">
        <x:f>IF(C273&gt;=82,'Model scoringu'!$B$4,IF(C273&gt;=72,'Model scoringu'!$B$5,IF(C273&gt;=58,'Model scoringu'!$B$6,"")))</x:f>
      </x:c>
      <x:c r="Y273" s="62" t="str">
        <x:v>Sprzedaż komplementarnych akcesoriów dla palaczy.</x:v>
      </x:c>
      <x:c r="Z273" s="62" t="str">
        <x:v>https://www.palender.pl</x:v>
      </x:c>
      <x:c r="AA273" s="62" t="str">
        <x:v>Dodane na prośbę użytkownika z wyników wyszukiwania (maszynki do skręcania). | Status źródłowy: Aktywny</x:v>
      </x:c>
      <x:c r="AB273" s="50" t="n">
        <x:v>18</x:v>
      </x:c>
      <x:c r="AC273" s="50" t="n">
        <x:v>15</x:v>
      </x:c>
      <x:c r="AD273" s="50" t="n">
        <x:v>7</x:v>
      </x:c>
      <x:c r="AE273" s="50" t="n">
        <x:v>13</x:v>
      </x:c>
      <x:c r="AF273" s="50" t="n">
        <x:v>8</x:v>
      </x:c>
      <x:c r="AG273" s="50" t="n">
        <x:v>7</x:v>
      </x:c>
      <x:c r="AH273" s="57" t="n">
        <x:v>30</x:v>
      </x:c>
    </x:row>
    <x:row r="274" ht="34" customHeight="1">
      <x:c r="A274" s="87" t="n">
        <x:v>272</x:v>
      </x:c>
      <x:c r="B274" s="88" t="str">
        <x:f>IF(C274&gt;=82,"A"&amp;1&amp;" — kontakt natychmiast",IF(C274&gt;=72,"A"&amp;2&amp;" — kontakt w 7 dni",IF(C274&gt;=58,"B — kampania regionalna",IF(C274&gt;=42,"C — weryfikacja i nurturing","D — niski priorytet/wykluczyć"))))</x:f>
        <x:v>D — niski priorytet/wykluczyć</x:v>
      </x:c>
      <x:c r="C274" s="88" t="n">
        <x:f>MAX(0,MIN(100,SUM(AB274:AG274)-AH274))</x:f>
        <x:v>38</x:v>
      </x:c>
      <x:c r="D274" s="62" t="str">
        <x:v>Opengift</x:v>
      </x:c>
      <x:c r="E274" s="62" t="str">
        <x:v>Potencjalny reseller / odbiorca hurtowy</x:v>
      </x:c>
      <x:c r="F274" s="62" t="str">
        <x:v>S3 — Akcesoria dla palaczy/headshop</x:v>
      </x:c>
      <x:c r="G274" s="62" t="str">
        <x:v>Hurt B2B regionalny</x:v>
      </x:c>
      <x:c r="H274" s="62" t="str">
        <x:v>Nieustalony</x:v>
      </x:c>
      <x:c r="I274" s="62" t="str"/>
      <x:c r="J274" s="62" t="str">
        <x:v>Nieustalona</x:v>
      </x:c>
      <x:c r="K274" s="62" t="str">
        <x:v>biuro@opengift.pl</x:v>
      </x:c>
      <x:c r="L274" s="62" t="str">
        <x:v>607662386</x:v>
      </x:c>
      <x:c r="M274" s="62" t="str"/>
      <x:c r="N274" s="62" t="str"/>
      <x:c r="O274" s="62" t="str">
        <x:v>https://www.opengift.pl</x:v>
      </x:c>
      <x:c r="P274" s="62" t="str"/>
      <x:c r="Q274" s="62" t="str">
        <x:v>9721331588</x:v>
      </x:c>
      <x:c r="R274" s="62" t="str">
        <x:v>0000993557</x:v>
      </x:c>
      <x:c r="S274" s="62" t="str">
        <x:v>Akcesoria Tytoniowe</x:v>
      </x:c>
      <x:c r="T274" s="62" t="str">
        <x:f>IF(AND(K274&lt;&gt;"",L274&lt;&gt;"",O274&lt;&gt;""),"Pełny",IF(OR(K274&lt;&gt;"",L274&lt;&gt;""),"Częściowy","Brak bezpośredniego kontaktu"))</x:f>
        <x:v>Pełny</x:v>
      </x:c>
      <x:c r="U274" s="62" t="str">
        <x:v>Do weryfikacji</x:v>
      </x:c>
      <x:c r="V274" s="62" t="str">
        <x:v>BILLS — hurt@bills.pl</x:v>
      </x:c>
      <x:c r="W274" s="62" t="str">
        <x:v>Archiwum lub weryfikacja przy okazji</x:v>
      </x:c>
      <x:c r="X274" s="81" t="str">
        <x:f>IF(C274&gt;=82,'Model scoringu'!$B$4,IF(C274&gt;=72,'Model scoringu'!$B$5,IF(C274&gt;=58,'Model scoringu'!$B$6,"")))</x:f>
      </x:c>
      <x:c r="Y274" s="62" t="str">
        <x:v>Sprzedaż komplementarnych akcesoriów dla palaczy.</x:v>
      </x:c>
      <x:c r="Z274" s="62" t="str">
        <x:v>https://www.opengift.pl</x:v>
      </x:c>
      <x:c r="AA274" s="62" t="str">
        <x:v>Automatycznie pobrane przez skrypt. | Status źródłowy: Aktywny</x:v>
      </x:c>
      <x:c r="AB274" s="50" t="n">
        <x:v>18</x:v>
      </x:c>
      <x:c r="AC274" s="50" t="n">
        <x:v>15</x:v>
      </x:c>
      <x:c r="AD274" s="50" t="n">
        <x:v>7</x:v>
      </x:c>
      <x:c r="AE274" s="50" t="n">
        <x:v>13</x:v>
      </x:c>
      <x:c r="AF274" s="50" t="n">
        <x:v>8</x:v>
      </x:c>
      <x:c r="AG274" s="50" t="n">
        <x:v>7</x:v>
      </x:c>
      <x:c r="AH274" s="57" t="n">
        <x:v>30</x:v>
      </x:c>
    </x:row>
    <x:row r="275" ht="34" customHeight="1">
      <x:c r="A275" s="87" t="n">
        <x:v>273</x:v>
      </x:c>
      <x:c r="B275" s="88" t="str">
        <x:f>IF(C275&gt;=82,"A"&amp;1&amp;" — kontakt natychmiast",IF(C275&gt;=72,"A"&amp;2&amp;" — kontakt w 7 dni",IF(C275&gt;=58,"B — kampania regionalna",IF(C275&gt;=42,"C — weryfikacja i nurturing","D — niski priorytet/wykluczyć"))))</x:f>
        <x:v>D — niski priorytet/wykluczyć</x:v>
      </x:c>
      <x:c r="C275" s="88" t="n">
        <x:f>MAX(0,MIN(100,SUM(AB275:AG275)-AH275))</x:f>
        <x:v>38</x:v>
      </x:c>
      <x:c r="D275" s="62" t="str">
        <x:v>Nicosta</x:v>
      </x:c>
      <x:c r="E275" s="62" t="str">
        <x:v>Potencjalny reseller / odbiorca hurtowy</x:v>
      </x:c>
      <x:c r="F275" s="62" t="str">
        <x:v>S3 — Akcesoria dla palaczy/headshop</x:v>
      </x:c>
      <x:c r="G275" s="62" t="str">
        <x:v>Hurt B2B regionalny</x:v>
      </x:c>
      <x:c r="H275" s="62" t="str">
        <x:v>Nieustalony</x:v>
      </x:c>
      <x:c r="I275" s="62" t="str"/>
      <x:c r="J275" s="62" t="str">
        <x:v>Nieustalona</x:v>
      </x:c>
      <x:c r="K275" s="62" t="str">
        <x:v>office@nicosta.pl</x:v>
      </x:c>
      <x:c r="L275" s="62" t="str">
        <x:v>164665703</x:v>
      </x:c>
      <x:c r="M275" s="62" t="str"/>
      <x:c r="N275" s="62" t="str"/>
      <x:c r="O275" s="62" t="str">
        <x:v>https://www.nicosta.pl</x:v>
      </x:c>
      <x:c r="P275" s="62" t="str"/>
      <x:c r="Q275" s="62" t="str">
        <x:v>5272837683</x:v>
      </x:c>
      <x:c r="R275" s="62" t="str">
        <x:v>0000716982</x:v>
      </x:c>
      <x:c r="S275" s="62" t="str">
        <x:v>Web Scraped | Akcesoria tytoniowe</x:v>
      </x:c>
      <x:c r="T275" s="62" t="str">
        <x:f>IF(AND(K275&lt;&gt;"",L275&lt;&gt;"",O275&lt;&gt;""),"Pełny",IF(OR(K275&lt;&gt;"",L275&lt;&gt;""),"Częściowy","Brak bezpośredniego kontaktu"))</x:f>
        <x:v>Pełny</x:v>
      </x:c>
      <x:c r="U275" s="62" t="str">
        <x:v>Do weryfikacji</x:v>
      </x:c>
      <x:c r="V275" s="62" t="str">
        <x:v>BILLS — hurt@bills.pl</x:v>
      </x:c>
      <x:c r="W275" s="62" t="str">
        <x:v>Archiwum lub weryfikacja przy okazji</x:v>
      </x:c>
      <x:c r="X275" s="81" t="str">
        <x:f>IF(C275&gt;=82,'Model scoringu'!$B$4,IF(C275&gt;=72,'Model scoringu'!$B$5,IF(C275&gt;=58,'Model scoringu'!$B$6,"")))</x:f>
      </x:c>
      <x:c r="Y275" s="62" t="str">
        <x:v>Sprzedaż komplementarnych akcesoriów dla palaczy.</x:v>
      </x:c>
      <x:c r="Z275" s="62" t="str">
        <x:v>https://www.nicosta.pl</x:v>
      </x:c>
      <x:c r="AA275" s="62" t="str">
        <x:v>Automatycznie pobrane przez skrypt. | Status źródłowy: Aktywny</x:v>
      </x:c>
      <x:c r="AB275" s="50" t="n">
        <x:v>18</x:v>
      </x:c>
      <x:c r="AC275" s="50" t="n">
        <x:v>15</x:v>
      </x:c>
      <x:c r="AD275" s="50" t="n">
        <x:v>7</x:v>
      </x:c>
      <x:c r="AE275" s="50" t="n">
        <x:v>13</x:v>
      </x:c>
      <x:c r="AF275" s="50" t="n">
        <x:v>8</x:v>
      </x:c>
      <x:c r="AG275" s="50" t="n">
        <x:v>7</x:v>
      </x:c>
      <x:c r="AH275" s="57" t="n">
        <x:v>30</x:v>
      </x:c>
    </x:row>
    <x:row r="276" ht="34" customHeight="1">
      <x:c r="A276" s="87" t="n">
        <x:v>274</x:v>
      </x:c>
      <x:c r="B276" s="88" t="str">
        <x:f>IF(C276&gt;=82,"A"&amp;1&amp;" — kontakt natychmiast",IF(C276&gt;=72,"A"&amp;2&amp;" — kontakt w 7 dni",IF(C276&gt;=58,"B — kampania regionalna",IF(C276&gt;=42,"C — weryfikacja i nurturing","D — niski priorytet/wykluczyć"))))</x:f>
        <x:v>D — niski priorytet/wykluczyć</x:v>
      </x:c>
      <x:c r="C276" s="88" t="n">
        <x:f>MAX(0,MIN(100,SUM(AB276:AG276)-AH276))</x:f>
        <x:v>38</x:v>
      </x:c>
      <x:c r="D276" s="62" t="str">
        <x:v>Mountaingold</x:v>
      </x:c>
      <x:c r="E276" s="62" t="str">
        <x:v>Potencjalny reseller / odbiorca hurtowy</x:v>
      </x:c>
      <x:c r="F276" s="62" t="str">
        <x:v>S3 — Akcesoria dla palaczy/headshop</x:v>
      </x:c>
      <x:c r="G276" s="62" t="str">
        <x:v>Hurt B2B regionalny</x:v>
      </x:c>
      <x:c r="H276" s="62" t="str">
        <x:v>Nieustalony</x:v>
      </x:c>
      <x:c r="I276" s="62" t="str"/>
      <x:c r="J276" s="62" t="str">
        <x:v>Nieustalona</x:v>
      </x:c>
      <x:c r="K276" s="62" t="str">
        <x:v>mountaingoldcbd@gmail.com</x:v>
      </x:c>
      <x:c r="L276" s="62" t="str">
        <x:v>169169314</x:v>
      </x:c>
      <x:c r="M276" s="62" t="str"/>
      <x:c r="N276" s="62" t="str"/>
      <x:c r="O276" s="62" t="str">
        <x:v>https://www.mountaingold.pl</x:v>
      </x:c>
      <x:c r="P276" s="62" t="str"/>
      <x:c r="Q276" s="62" t="str">
        <x:v>9372617871</x:v>
      </x:c>
      <x:c r="R276" s="62" t="str"/>
      <x:c r="S276" s="62" t="str">
        <x:v>Akcesoria Tytoniowe</x:v>
      </x:c>
      <x:c r="T276" s="62" t="str">
        <x:f>IF(AND(K276&lt;&gt;"",L276&lt;&gt;"",O276&lt;&gt;""),"Pełny",IF(OR(K276&lt;&gt;"",L276&lt;&gt;""),"Częściowy","Brak bezpośredniego kontaktu"))</x:f>
        <x:v>Pełny</x:v>
      </x:c>
      <x:c r="U276" s="62" t="str">
        <x:v>Do weryfikacji</x:v>
      </x:c>
      <x:c r="V276" s="62" t="str">
        <x:v>BILLS — hurt@bills.pl</x:v>
      </x:c>
      <x:c r="W276" s="62" t="str">
        <x:v>Archiwum lub weryfikacja przy okazji</x:v>
      </x:c>
      <x:c r="X276" s="81" t="str">
        <x:f>IF(C276&gt;=82,'Model scoringu'!$B$4,IF(C276&gt;=72,'Model scoringu'!$B$5,IF(C276&gt;=58,'Model scoringu'!$B$6,"")))</x:f>
      </x:c>
      <x:c r="Y276" s="62" t="str">
        <x:v>Sprzedaż komplementarnych akcesoriów dla palaczy.</x:v>
      </x:c>
      <x:c r="Z276" s="62" t="str">
        <x:v>https://www.mountaingold.pl</x:v>
      </x:c>
      <x:c r="AA276" s="62" t="str">
        <x:v>Automatycznie pobrane przez skrypt. | Status źródłowy: Aktywny</x:v>
      </x:c>
      <x:c r="AB276" s="50" t="n">
        <x:v>18</x:v>
      </x:c>
      <x:c r="AC276" s="50" t="n">
        <x:v>15</x:v>
      </x:c>
      <x:c r="AD276" s="50" t="n">
        <x:v>7</x:v>
      </x:c>
      <x:c r="AE276" s="50" t="n">
        <x:v>13</x:v>
      </x:c>
      <x:c r="AF276" s="50" t="n">
        <x:v>8</x:v>
      </x:c>
      <x:c r="AG276" s="50" t="n">
        <x:v>7</x:v>
      </x:c>
      <x:c r="AH276" s="57" t="n">
        <x:v>30</x:v>
      </x:c>
    </x:row>
    <x:row r="277" ht="34" customHeight="1">
      <x:c r="A277" s="87" t="n">
        <x:v>275</x:v>
      </x:c>
      <x:c r="B277" s="88" t="str">
        <x:f>IF(C277&gt;=82,"A"&amp;1&amp;" — kontakt natychmiast",IF(C277&gt;=72,"A"&amp;2&amp;" — kontakt w 7 dni",IF(C277&gt;=58,"B — kampania regionalna",IF(C277&gt;=42,"C — weryfikacja i nurturing","D — niski priorytet/wykluczyć"))))</x:f>
        <x:v>D — niski priorytet/wykluczyć</x:v>
      </x:c>
      <x:c r="C277" s="88" t="n">
        <x:f>MAX(0,MIN(100,SUM(AB277:AG277)-AH277))</x:f>
        <x:v>38</x:v>
      </x:c>
      <x:c r="D277" s="62" t="str">
        <x:v>Lunacorporate</x:v>
      </x:c>
      <x:c r="E277" s="62" t="str">
        <x:v>Potencjalny reseller / odbiorca hurtowy</x:v>
      </x:c>
      <x:c r="F277" s="62" t="str">
        <x:v>S3 — Akcesoria dla palaczy/headshop</x:v>
      </x:c>
      <x:c r="G277" s="62" t="str">
        <x:v>Hurt B2B regionalny</x:v>
      </x:c>
      <x:c r="H277" s="62" t="str">
        <x:v>Nieustalony</x:v>
      </x:c>
      <x:c r="I277" s="62" t="str"/>
      <x:c r="J277" s="62" t="str">
        <x:v>Nieustalona</x:v>
      </x:c>
      <x:c r="K277" s="62" t="str">
        <x:v>contact@lunacorporate.com</x:v>
      </x:c>
      <x:c r="L277" s="62" t="str">
        <x:v>375458594</x:v>
      </x:c>
      <x:c r="M277" s="62" t="str"/>
      <x:c r="N277" s="62" t="str"/>
      <x:c r="O277" s="62" t="str">
        <x:v>https://www.lunacorporate.com</x:v>
      </x:c>
      <x:c r="P277" s="62" t="str"/>
      <x:c r="Q277" s="62" t="str"/>
      <x:c r="R277" s="62" t="str"/>
      <x:c r="S277" s="62" t="str">
        <x:v>Akcesoria Tytoniowe</x:v>
      </x:c>
      <x:c r="T277" s="62" t="str">
        <x:f>IF(AND(K277&lt;&gt;"",L277&lt;&gt;"",O277&lt;&gt;""),"Pełny",IF(OR(K277&lt;&gt;"",L277&lt;&gt;""),"Częściowy","Brak bezpośredniego kontaktu"))</x:f>
        <x:v>Pełny</x:v>
      </x:c>
      <x:c r="U277" s="62" t="str">
        <x:v>Do weryfikacji</x:v>
      </x:c>
      <x:c r="V277" s="62" t="str">
        <x:v>BILLS — hurt@bills.pl</x:v>
      </x:c>
      <x:c r="W277" s="62" t="str">
        <x:v>Archiwum lub weryfikacja przy okazji</x:v>
      </x:c>
      <x:c r="X277" s="81" t="str">
        <x:f>IF(C277&gt;=82,'Model scoringu'!$B$4,IF(C277&gt;=72,'Model scoringu'!$B$5,IF(C277&gt;=58,'Model scoringu'!$B$6,"")))</x:f>
      </x:c>
      <x:c r="Y277" s="62" t="str">
        <x:v>Sprzedaż komplementarnych akcesoriów dla palaczy.</x:v>
      </x:c>
      <x:c r="Z277" s="62" t="str">
        <x:v>https://www.lunacorporate.com</x:v>
      </x:c>
      <x:c r="AA277" s="62" t="str">
        <x:v>Automatycznie pobrane przez skrypt. | Status źródłowy: Aktywny</x:v>
      </x:c>
      <x:c r="AB277" s="50" t="n">
        <x:v>18</x:v>
      </x:c>
      <x:c r="AC277" s="50" t="n">
        <x:v>15</x:v>
      </x:c>
      <x:c r="AD277" s="50" t="n">
        <x:v>7</x:v>
      </x:c>
      <x:c r="AE277" s="50" t="n">
        <x:v>13</x:v>
      </x:c>
      <x:c r="AF277" s="50" t="n">
        <x:v>8</x:v>
      </x:c>
      <x:c r="AG277" s="50" t="n">
        <x:v>7</x:v>
      </x:c>
      <x:c r="AH277" s="57" t="n">
        <x:v>30</x:v>
      </x:c>
    </x:row>
    <x:row r="278" ht="34" customHeight="1">
      <x:c r="A278" s="87" t="n">
        <x:v>276</x:v>
      </x:c>
      <x:c r="B278" s="88" t="str">
        <x:f>IF(C278&gt;=82,"A"&amp;1&amp;" — kontakt natychmiast",IF(C278&gt;=72,"A"&amp;2&amp;" — kontakt w 7 dni",IF(C278&gt;=58,"B — kampania regionalna",IF(C278&gt;=42,"C — weryfikacja i nurturing","D — niski priorytet/wykluczyć"))))</x:f>
        <x:v>D — niski priorytet/wykluczyć</x:v>
      </x:c>
      <x:c r="C278" s="88" t="n">
        <x:f>MAX(0,MIN(100,SUM(AB278:AG278)-AH278))</x:f>
        <x:v>38</x:v>
      </x:c>
      <x:c r="D278" s="62" t="str">
        <x:v>Lakihurt</x:v>
      </x:c>
      <x:c r="E278" s="62" t="str">
        <x:v>Potencjalny reseller / odbiorca hurtowy</x:v>
      </x:c>
      <x:c r="F278" s="62" t="str">
        <x:v>S3 — Akcesoria dla palaczy/headshop</x:v>
      </x:c>
      <x:c r="G278" s="62" t="str">
        <x:v>Hurt B2B regionalny</x:v>
      </x:c>
      <x:c r="H278" s="62" t="str">
        <x:v>Nieustalony</x:v>
      </x:c>
      <x:c r="I278" s="62" t="str"/>
      <x:c r="J278" s="62" t="str">
        <x:v>Nieustalona</x:v>
      </x:c>
      <x:c r="K278" s="62" t="str">
        <x:v>biuro@lakihurt.pl</x:v>
      </x:c>
      <x:c r="L278" s="62" t="str">
        <x:v>108238605</x:v>
      </x:c>
      <x:c r="M278" s="62" t="str"/>
      <x:c r="N278" s="62" t="str"/>
      <x:c r="O278" s="62" t="str">
        <x:v>https://www.lakihurt.pl</x:v>
      </x:c>
      <x:c r="P278" s="62" t="str"/>
      <x:c r="Q278" s="62" t="str">
        <x:v>6252245721</x:v>
      </x:c>
      <x:c r="R278" s="62" t="str"/>
      <x:c r="S278" s="62" t="str">
        <x:v>Akcesoria Tytoniowe</x:v>
      </x:c>
      <x:c r="T278" s="62" t="str">
        <x:f>IF(AND(K278&lt;&gt;"",L278&lt;&gt;"",O278&lt;&gt;""),"Pełny",IF(OR(K278&lt;&gt;"",L278&lt;&gt;""),"Częściowy","Brak bezpośredniego kontaktu"))</x:f>
        <x:v>Pełny</x:v>
      </x:c>
      <x:c r="U278" s="62" t="str">
        <x:v>Do weryfikacji</x:v>
      </x:c>
      <x:c r="V278" s="62" t="str">
        <x:v>BILLS — hurt@bills.pl</x:v>
      </x:c>
      <x:c r="W278" s="62" t="str">
        <x:v>Archiwum lub weryfikacja przy okazji</x:v>
      </x:c>
      <x:c r="X278" s="81" t="str">
        <x:f>IF(C278&gt;=82,'Model scoringu'!$B$4,IF(C278&gt;=72,'Model scoringu'!$B$5,IF(C278&gt;=58,'Model scoringu'!$B$6,"")))</x:f>
      </x:c>
      <x:c r="Y278" s="62" t="str">
        <x:v>Sprzedaż komplementarnych akcesoriów dla palaczy.</x:v>
      </x:c>
      <x:c r="Z278" s="62" t="str">
        <x:v>https://www.lakihurt.pl</x:v>
      </x:c>
      <x:c r="AA278" s="62" t="str">
        <x:v>Automatycznie pobrane przez skrypt. | Status źródłowy: Aktywny</x:v>
      </x:c>
      <x:c r="AB278" s="50" t="n">
        <x:v>18</x:v>
      </x:c>
      <x:c r="AC278" s="50" t="n">
        <x:v>15</x:v>
      </x:c>
      <x:c r="AD278" s="50" t="n">
        <x:v>7</x:v>
      </x:c>
      <x:c r="AE278" s="50" t="n">
        <x:v>13</x:v>
      </x:c>
      <x:c r="AF278" s="50" t="n">
        <x:v>8</x:v>
      </x:c>
      <x:c r="AG278" s="50" t="n">
        <x:v>7</x:v>
      </x:c>
      <x:c r="AH278" s="57" t="n">
        <x:v>30</x:v>
      </x:c>
    </x:row>
    <x:row r="279" ht="34" customHeight="1">
      <x:c r="A279" s="87" t="n">
        <x:v>277</x:v>
      </x:c>
      <x:c r="B279" s="88" t="str">
        <x:f>IF(C279&gt;=82,"A"&amp;1&amp;" — kontakt natychmiast",IF(C279&gt;=72,"A"&amp;2&amp;" — kontakt w 7 dni",IF(C279&gt;=58,"B — kampania regionalna",IF(C279&gt;=42,"C — weryfikacja i nurturing","D — niski priorytet/wykluczyć"))))</x:f>
        <x:v>D — niski priorytet/wykluczyć</x:v>
      </x:c>
      <x:c r="C279" s="88" t="n">
        <x:f>MAX(0,MIN(100,SUM(AB279:AG279)-AH279))</x:f>
        <x:v>38</x:v>
      </x:c>
      <x:c r="D279" s="62" t="str">
        <x:v>Konopnysklep</x:v>
      </x:c>
      <x:c r="E279" s="62" t="str">
        <x:v>Potencjalny reseller / odbiorca hurtowy</x:v>
      </x:c>
      <x:c r="F279" s="62" t="str">
        <x:v>S3 — Akcesoria dla palaczy/headshop</x:v>
      </x:c>
      <x:c r="G279" s="62" t="str">
        <x:v>Hurt B2B regionalny</x:v>
      </x:c>
      <x:c r="H279" s="62" t="str">
        <x:v>Nieustalony</x:v>
      </x:c>
      <x:c r="I279" s="62" t="str"/>
      <x:c r="J279" s="62" t="str">
        <x:v>Nieustalona</x:v>
      </x:c>
      <x:c r="K279" s="62" t="str">
        <x:v>info@konopnysklep.com.pl</x:v>
      </x:c>
      <x:c r="L279" s="62" t="str">
        <x:v>167119884</x:v>
      </x:c>
      <x:c r="M279" s="62" t="str"/>
      <x:c r="N279" s="62" t="str"/>
      <x:c r="O279" s="62" t="str">
        <x:v>https://www.konopnysklep.com.pl</x:v>
      </x:c>
      <x:c r="P279" s="62" t="str"/>
      <x:c r="Q279" s="62" t="str">
        <x:v>5423228026</x:v>
      </x:c>
      <x:c r="R279" s="62" t="str"/>
      <x:c r="S279" s="62" t="str">
        <x:v>Akcesoria Tytoniowe</x:v>
      </x:c>
      <x:c r="T279" s="62" t="str">
        <x:f>IF(AND(K279&lt;&gt;"",L279&lt;&gt;"",O279&lt;&gt;""),"Pełny",IF(OR(K279&lt;&gt;"",L279&lt;&gt;""),"Częściowy","Brak bezpośredniego kontaktu"))</x:f>
        <x:v>Pełny</x:v>
      </x:c>
      <x:c r="U279" s="62" t="str">
        <x:v>Do weryfikacji</x:v>
      </x:c>
      <x:c r="V279" s="62" t="str">
        <x:v>BILLS — hurt@bills.pl</x:v>
      </x:c>
      <x:c r="W279" s="62" t="str">
        <x:v>Archiwum lub weryfikacja przy okazji</x:v>
      </x:c>
      <x:c r="X279" s="81" t="str">
        <x:f>IF(C279&gt;=82,'Model scoringu'!$B$4,IF(C279&gt;=72,'Model scoringu'!$B$5,IF(C279&gt;=58,'Model scoringu'!$B$6,"")))</x:f>
      </x:c>
      <x:c r="Y279" s="62" t="str">
        <x:v>Sprzedaż komplementarnych akcesoriów dla palaczy.</x:v>
      </x:c>
      <x:c r="Z279" s="62" t="str">
        <x:v>https://www.konopnysklep.com.pl</x:v>
      </x:c>
      <x:c r="AA279" s="62" t="str">
        <x:v>Automatycznie pobrane przez skrypt. | Status źródłowy: Aktywny</x:v>
      </x:c>
      <x:c r="AB279" s="50" t="n">
        <x:v>18</x:v>
      </x:c>
      <x:c r="AC279" s="50" t="n">
        <x:v>15</x:v>
      </x:c>
      <x:c r="AD279" s="50" t="n">
        <x:v>7</x:v>
      </x:c>
      <x:c r="AE279" s="50" t="n">
        <x:v>13</x:v>
      </x:c>
      <x:c r="AF279" s="50" t="n">
        <x:v>8</x:v>
      </x:c>
      <x:c r="AG279" s="50" t="n">
        <x:v>7</x:v>
      </x:c>
      <x:c r="AH279" s="57" t="n">
        <x:v>30</x:v>
      </x:c>
    </x:row>
    <x:row r="280" ht="34" customHeight="1">
      <x:c r="A280" s="87" t="n">
        <x:v>278</x:v>
      </x:c>
      <x:c r="B280" s="88" t="str">
        <x:f>IF(C280&gt;=82,"A"&amp;1&amp;" — kontakt natychmiast",IF(C280&gt;=72,"A"&amp;2&amp;" — kontakt w 7 dni",IF(C280&gt;=58,"B — kampania regionalna",IF(C280&gt;=42,"C — weryfikacja i nurturing","D — niski priorytet/wykluczyć"))))</x:f>
        <x:v>D — niski priorytet/wykluczyć</x:v>
      </x:c>
      <x:c r="C280" s="88" t="n">
        <x:f>MAX(0,MIN(100,SUM(AB280:AG280)-AH280))</x:f>
        <x:v>38</x:v>
      </x:c>
      <x:c r="D280" s="62" t="str">
        <x:v>Kolporter</x:v>
      </x:c>
      <x:c r="E280" s="62" t="str">
        <x:v>Potencjalny reseller / odbiorca hurtowy</x:v>
      </x:c>
      <x:c r="F280" s="62" t="str">
        <x:v>S3 — Akcesoria dla palaczy/headshop</x:v>
      </x:c>
      <x:c r="G280" s="62" t="str">
        <x:v>Hurt B2B regionalny</x:v>
      </x:c>
      <x:c r="H280" s="62" t="str">
        <x:v>Nieustalony</x:v>
      </x:c>
      <x:c r="I280" s="62" t="str"/>
      <x:c r="J280" s="62" t="str">
        <x:v>Nieustalona</x:v>
      </x:c>
      <x:c r="K280" s="62" t="str">
        <x:v>biuro@kolporter.com.pl</x:v>
      </x:c>
      <x:c r="L280" s="62" t="str">
        <x:v>178290427</x:v>
      </x:c>
      <x:c r="M280" s="62" t="str"/>
      <x:c r="N280" s="62" t="str"/>
      <x:c r="O280" s="62" t="str">
        <x:v>https://www.kolporter.com.pl</x:v>
      </x:c>
      <x:c r="P280" s="62" t="str"/>
      <x:c r="Q280" s="62" t="str">
        <x:v>9591452482</x:v>
      </x:c>
      <x:c r="R280" s="62" t="str">
        <x:v>0000840148</x:v>
      </x:c>
      <x:c r="S280" s="62" t="str">
        <x:v>Akcesoria Tytoniowe</x:v>
      </x:c>
      <x:c r="T280" s="62" t="str">
        <x:f>IF(AND(K280&lt;&gt;"",L280&lt;&gt;"",O280&lt;&gt;""),"Pełny",IF(OR(K280&lt;&gt;"",L280&lt;&gt;""),"Częściowy","Brak bezpośredniego kontaktu"))</x:f>
        <x:v>Pełny</x:v>
      </x:c>
      <x:c r="U280" s="62" t="str">
        <x:v>Do weryfikacji</x:v>
      </x:c>
      <x:c r="V280" s="62" t="str">
        <x:v>BILLS — hurt@bills.pl</x:v>
      </x:c>
      <x:c r="W280" s="62" t="str">
        <x:v>Archiwum lub weryfikacja przy okazji</x:v>
      </x:c>
      <x:c r="X280" s="81" t="str">
        <x:f>IF(C280&gt;=82,'Model scoringu'!$B$4,IF(C280&gt;=72,'Model scoringu'!$B$5,IF(C280&gt;=58,'Model scoringu'!$B$6,"")))</x:f>
      </x:c>
      <x:c r="Y280" s="62" t="str">
        <x:v>Sprzedaż komplementarnych akcesoriów dla palaczy.</x:v>
      </x:c>
      <x:c r="Z280" s="62" t="str">
        <x:v>https://www.kolporter.com.pl</x:v>
      </x:c>
      <x:c r="AA280" s="62" t="str">
        <x:v>Automatycznie pobrane przez skrypt. | Status źródłowy: Aktywny</x:v>
      </x:c>
      <x:c r="AB280" s="50" t="n">
        <x:v>18</x:v>
      </x:c>
      <x:c r="AC280" s="50" t="n">
        <x:v>15</x:v>
      </x:c>
      <x:c r="AD280" s="50" t="n">
        <x:v>7</x:v>
      </x:c>
      <x:c r="AE280" s="50" t="n">
        <x:v>13</x:v>
      </x:c>
      <x:c r="AF280" s="50" t="n">
        <x:v>8</x:v>
      </x:c>
      <x:c r="AG280" s="50" t="n">
        <x:v>7</x:v>
      </x:c>
      <x:c r="AH280" s="57" t="n">
        <x:v>30</x:v>
      </x:c>
    </x:row>
    <x:row r="281" ht="34" customHeight="1">
      <x:c r="A281" s="87" t="n">
        <x:v>279</x:v>
      </x:c>
      <x:c r="B281" s="88" t="str">
        <x:f>IF(C281&gt;=82,"A"&amp;1&amp;" — kontakt natychmiast",IF(C281&gt;=72,"A"&amp;2&amp;" — kontakt w 7 dni",IF(C281&gt;=58,"B — kampania regionalna",IF(C281&gt;=42,"C — weryfikacja i nurturing","D — niski priorytet/wykluczyć"))))</x:f>
        <x:v>D — niski priorytet/wykluczyć</x:v>
      </x:c>
      <x:c r="C281" s="88" t="n">
        <x:f>MAX(0,MIN(100,SUM(AB281:AG281)-AH281))</x:f>
        <x:v>38</x:v>
      </x:c>
      <x:c r="D281" s="62" t="str">
        <x:v>Jamaicanshop</x:v>
      </x:c>
      <x:c r="E281" s="62" t="str">
        <x:v>Potencjalny reseller / odbiorca hurtowy</x:v>
      </x:c>
      <x:c r="F281" s="62" t="str">
        <x:v>S3 — Akcesoria dla palaczy/headshop</x:v>
      </x:c>
      <x:c r="G281" s="62" t="str">
        <x:v>Hurt B2B regionalny</x:v>
      </x:c>
      <x:c r="H281" s="62" t="str">
        <x:v>Nieustalony</x:v>
      </x:c>
      <x:c r="I281" s="62" t="str"/>
      <x:c r="J281" s="62" t="str">
        <x:v>Nieustalona</x:v>
      </x:c>
      <x:c r="K281" s="62" t="str">
        <x:v>sklep@jamaicanshop.pl</x:v>
      </x:c>
      <x:c r="L281" s="62" t="str">
        <x:v>167456464</x:v>
      </x:c>
      <x:c r="M281" s="62" t="str"/>
      <x:c r="N281" s="62" t="str"/>
      <x:c r="O281" s="62" t="str">
        <x:v>https://www.jamaicanshop.pl</x:v>
      </x:c>
      <x:c r="P281" s="62" t="str"/>
      <x:c r="Q281" s="62" t="str">
        <x:v>5361835065</x:v>
      </x:c>
      <x:c r="R281" s="62" t="str"/>
      <x:c r="S281" s="62" t="str">
        <x:v>Akcesoria Tytoniowe</x:v>
      </x:c>
      <x:c r="T281" s="62" t="str">
        <x:f>IF(AND(K281&lt;&gt;"",L281&lt;&gt;"",O281&lt;&gt;""),"Pełny",IF(OR(K281&lt;&gt;"",L281&lt;&gt;""),"Częściowy","Brak bezpośredniego kontaktu"))</x:f>
        <x:v>Pełny</x:v>
      </x:c>
      <x:c r="U281" s="62" t="str">
        <x:v>Do weryfikacji</x:v>
      </x:c>
      <x:c r="V281" s="62" t="str">
        <x:v>BILLS — hurt@bills.pl</x:v>
      </x:c>
      <x:c r="W281" s="62" t="str">
        <x:v>Archiwum lub weryfikacja przy okazji</x:v>
      </x:c>
      <x:c r="X281" s="81" t="str">
        <x:f>IF(C281&gt;=82,'Model scoringu'!$B$4,IF(C281&gt;=72,'Model scoringu'!$B$5,IF(C281&gt;=58,'Model scoringu'!$B$6,"")))</x:f>
      </x:c>
      <x:c r="Y281" s="62" t="str">
        <x:v>Sprzedaż komplementarnych akcesoriów dla palaczy.</x:v>
      </x:c>
      <x:c r="Z281" s="62" t="str">
        <x:v>https://www.jamaicanshop.pl</x:v>
      </x:c>
      <x:c r="AA281" s="62" t="str">
        <x:v>Automatycznie pobrane przez skrypt. | Status źródłowy: Aktywny</x:v>
      </x:c>
      <x:c r="AB281" s="50" t="n">
        <x:v>18</x:v>
      </x:c>
      <x:c r="AC281" s="50" t="n">
        <x:v>15</x:v>
      </x:c>
      <x:c r="AD281" s="50" t="n">
        <x:v>7</x:v>
      </x:c>
      <x:c r="AE281" s="50" t="n">
        <x:v>13</x:v>
      </x:c>
      <x:c r="AF281" s="50" t="n">
        <x:v>8</x:v>
      </x:c>
      <x:c r="AG281" s="50" t="n">
        <x:v>7</x:v>
      </x:c>
      <x:c r="AH281" s="57" t="n">
        <x:v>30</x:v>
      </x:c>
    </x:row>
    <x:row r="282" ht="34" customHeight="1">
      <x:c r="A282" s="87" t="n">
        <x:v>280</x:v>
      </x:c>
      <x:c r="B282" s="88" t="str">
        <x:f>IF(C282&gt;=82,"A"&amp;1&amp;" — kontakt natychmiast",IF(C282&gt;=72,"A"&amp;2&amp;" — kontakt w 7 dni",IF(C282&gt;=58,"B — kampania regionalna",IF(C282&gt;=42,"C — weryfikacja i nurturing","D — niski priorytet/wykluczyć"))))</x:f>
        <x:v>D — niski priorytet/wykluczyć</x:v>
      </x:c>
      <x:c r="C282" s="88" t="n">
        <x:f>MAX(0,MIN(100,SUM(AB282:AG282)-AH282))</x:f>
        <x:v>38</x:v>
      </x:c>
      <x:c r="D282" s="62" t="str">
        <x:v>Ismoking</x:v>
      </x:c>
      <x:c r="E282" s="62" t="str">
        <x:v>Potencjalny reseller / odbiorca hurtowy</x:v>
      </x:c>
      <x:c r="F282" s="62" t="str">
        <x:v>S3 — Akcesoria dla palaczy/headshop</x:v>
      </x:c>
      <x:c r="G282" s="62" t="str">
        <x:v>Hurt B2B regionalny</x:v>
      </x:c>
      <x:c r="H282" s="62" t="str">
        <x:v>Nieustalony</x:v>
      </x:c>
      <x:c r="I282" s="62" t="str"/>
      <x:c r="J282" s="62" t="str">
        <x:v>Nieustalona</x:v>
      </x:c>
      <x:c r="K282" s="62" t="str">
        <x:v>bok@ismoking.pl</x:v>
      </x:c>
      <x:c r="L282" s="62" t="str">
        <x:v>943405170</x:v>
      </x:c>
      <x:c r="M282" s="62" t="str"/>
      <x:c r="N282" s="62" t="str"/>
      <x:c r="O282" s="62" t="str">
        <x:v>https://www.ismoking.pl</x:v>
      </x:c>
      <x:c r="P282" s="62" t="str"/>
      <x:c r="Q282" s="62" t="str">
        <x:v>5223217609</x:v>
      </x:c>
      <x:c r="R282" s="62" t="str"/>
      <x:c r="S282" s="62" t="str">
        <x:v>Akcesoria Tytoniowe</x:v>
      </x:c>
      <x:c r="T282" s="62" t="str">
        <x:f>IF(AND(K282&lt;&gt;"",L282&lt;&gt;"",O282&lt;&gt;""),"Pełny",IF(OR(K282&lt;&gt;"",L282&lt;&gt;""),"Częściowy","Brak bezpośredniego kontaktu"))</x:f>
        <x:v>Pełny</x:v>
      </x:c>
      <x:c r="U282" s="62" t="str">
        <x:v>Do weryfikacji</x:v>
      </x:c>
      <x:c r="V282" s="62" t="str">
        <x:v>BILLS — hurt@bills.pl</x:v>
      </x:c>
      <x:c r="W282" s="62" t="str">
        <x:v>Archiwum lub weryfikacja przy okazji</x:v>
      </x:c>
      <x:c r="X282" s="81" t="str">
        <x:f>IF(C282&gt;=82,'Model scoringu'!$B$4,IF(C282&gt;=72,'Model scoringu'!$B$5,IF(C282&gt;=58,'Model scoringu'!$B$6,"")))</x:f>
      </x:c>
      <x:c r="Y282" s="62" t="str">
        <x:v>Sprzedaż komplementarnych akcesoriów dla palaczy.</x:v>
      </x:c>
      <x:c r="Z282" s="62" t="str">
        <x:v>https://www.ismoking.pl</x:v>
      </x:c>
      <x:c r="AA282" s="62" t="str">
        <x:v>Automatycznie pobrane przez skrypt. | Status źródłowy: Aktywny</x:v>
      </x:c>
      <x:c r="AB282" s="50" t="n">
        <x:v>18</x:v>
      </x:c>
      <x:c r="AC282" s="50" t="n">
        <x:v>15</x:v>
      </x:c>
      <x:c r="AD282" s="50" t="n">
        <x:v>7</x:v>
      </x:c>
      <x:c r="AE282" s="50" t="n">
        <x:v>13</x:v>
      </x:c>
      <x:c r="AF282" s="50" t="n">
        <x:v>8</x:v>
      </x:c>
      <x:c r="AG282" s="50" t="n">
        <x:v>7</x:v>
      </x:c>
      <x:c r="AH282" s="57" t="n">
        <x:v>30</x:v>
      </x:c>
    </x:row>
    <x:row r="283" ht="34" customHeight="1">
      <x:c r="A283" s="87" t="n">
        <x:v>281</x:v>
      </x:c>
      <x:c r="B283" s="88" t="str">
        <x:f>IF(C283&gt;=82,"A"&amp;1&amp;" — kontakt natychmiast",IF(C283&gt;=72,"A"&amp;2&amp;" — kontakt w 7 dni",IF(C283&gt;=58,"B — kampania regionalna",IF(C283&gt;=42,"C — weryfikacja i nurturing","D — niski priorytet/wykluczyć"))))</x:f>
        <x:v>D — niski priorytet/wykluczyć</x:v>
      </x:c>
      <x:c r="C283" s="88" t="n">
        <x:f>MAX(0,MIN(100,SUM(AB283:AG283)-AH283))</x:f>
        <x:v>38</x:v>
      </x:c>
      <x:c r="D283" s="62" t="str">
        <x:v>Hurtplus</x:v>
      </x:c>
      <x:c r="E283" s="62" t="str">
        <x:v>Potencjalny reseller / odbiorca hurtowy</x:v>
      </x:c>
      <x:c r="F283" s="62" t="str">
        <x:v>S3 — Akcesoria dla palaczy/headshop</x:v>
      </x:c>
      <x:c r="G283" s="62" t="str">
        <x:v>Hurt B2B regionalny</x:v>
      </x:c>
      <x:c r="H283" s="62" t="str">
        <x:v>Nieustalony</x:v>
      </x:c>
      <x:c r="I283" s="62" t="str"/>
      <x:c r="J283" s="62" t="str">
        <x:v>Nieustalona</x:v>
      </x:c>
      <x:c r="K283" s="62" t="str">
        <x:v>info@hurtplus.pl</x:v>
      </x:c>
      <x:c r="L283" s="62" t="str">
        <x:v>925202262</x:v>
      </x:c>
      <x:c r="M283" s="62" t="str"/>
      <x:c r="N283" s="62" t="str"/>
      <x:c r="O283" s="62" t="str">
        <x:v>https://www.hurtplus.pl</x:v>
      </x:c>
      <x:c r="P283" s="62" t="str"/>
      <x:c r="Q283" s="62" t="str"/>
      <x:c r="R283" s="62" t="str"/>
      <x:c r="S283" s="62" t="str">
        <x:v>Akcesoria Tytoniowe</x:v>
      </x:c>
      <x:c r="T283" s="62" t="str">
        <x:f>IF(AND(K283&lt;&gt;"",L283&lt;&gt;"",O283&lt;&gt;""),"Pełny",IF(OR(K283&lt;&gt;"",L283&lt;&gt;""),"Częściowy","Brak bezpośredniego kontaktu"))</x:f>
        <x:v>Pełny</x:v>
      </x:c>
      <x:c r="U283" s="62" t="str">
        <x:v>Do weryfikacji</x:v>
      </x:c>
      <x:c r="V283" s="62" t="str">
        <x:v>BILLS — hurt@bills.pl</x:v>
      </x:c>
      <x:c r="W283" s="62" t="str">
        <x:v>Archiwum lub weryfikacja przy okazji</x:v>
      </x:c>
      <x:c r="X283" s="81" t="str">
        <x:f>IF(C283&gt;=82,'Model scoringu'!$B$4,IF(C283&gt;=72,'Model scoringu'!$B$5,IF(C283&gt;=58,'Model scoringu'!$B$6,"")))</x:f>
      </x:c>
      <x:c r="Y283" s="62" t="str">
        <x:v>Sprzedaż komplementarnych akcesoriów dla palaczy.</x:v>
      </x:c>
      <x:c r="Z283" s="62" t="str">
        <x:v>https://www.hurtplus.pl</x:v>
      </x:c>
      <x:c r="AA283" s="62" t="str">
        <x:v>Automatycznie pobrane przez skrypt. | Status źródłowy: Aktywny</x:v>
      </x:c>
      <x:c r="AB283" s="50" t="n">
        <x:v>18</x:v>
      </x:c>
      <x:c r="AC283" s="50" t="n">
        <x:v>15</x:v>
      </x:c>
      <x:c r="AD283" s="50" t="n">
        <x:v>7</x:v>
      </x:c>
      <x:c r="AE283" s="50" t="n">
        <x:v>13</x:v>
      </x:c>
      <x:c r="AF283" s="50" t="n">
        <x:v>8</x:v>
      </x:c>
      <x:c r="AG283" s="50" t="n">
        <x:v>7</x:v>
      </x:c>
      <x:c r="AH283" s="57" t="n">
        <x:v>30</x:v>
      </x:c>
    </x:row>
    <x:row r="284" ht="34" customHeight="1">
      <x:c r="A284" s="87" t="n">
        <x:v>282</x:v>
      </x:c>
      <x:c r="B284" s="88" t="str">
        <x:f>IF(C284&gt;=82,"A"&amp;1&amp;" — kontakt natychmiast",IF(C284&gt;=72,"A"&amp;2&amp;" — kontakt w 7 dni",IF(C284&gt;=58,"B — kampania regionalna",IF(C284&gt;=42,"C — weryfikacja i nurturing","D — niski priorytet/wykluczyć"))))</x:f>
        <x:v>D — niski priorytet/wykluczyć</x:v>
      </x:c>
      <x:c r="C284" s="88" t="n">
        <x:f>MAX(0,MIN(100,SUM(AB284:AG284)-AH284))</x:f>
        <x:v>38</x:v>
      </x:c>
      <x:c r="D284" s="62" t="str">
        <x:v>Hempplant</x:v>
      </x:c>
      <x:c r="E284" s="62" t="str">
        <x:v>Potencjalny reseller / odbiorca hurtowy</x:v>
      </x:c>
      <x:c r="F284" s="62" t="str">
        <x:v>S3 — Akcesoria dla palaczy/headshop</x:v>
      </x:c>
      <x:c r="G284" s="62" t="str">
        <x:v>Hurt B2B regionalny</x:v>
      </x:c>
      <x:c r="H284" s="62" t="str">
        <x:v>Nieustalony</x:v>
      </x:c>
      <x:c r="I284" s="62" t="str"/>
      <x:c r="J284" s="62" t="str">
        <x:v>Nieustalona</x:v>
      </x:c>
      <x:c r="K284" s="62" t="str">
        <x:v>cropped-2023-03-10_elgrafica@elgrafica.pl</x:v>
      </x:c>
      <x:c r="L284" s="62" t="str">
        <x:v>330867 100</x:v>
      </x:c>
      <x:c r="M284" s="62" t="str"/>
      <x:c r="N284" s="62" t="str"/>
      <x:c r="O284" s="62" t="str">
        <x:v>https://www.hempplant.pl</x:v>
      </x:c>
      <x:c r="P284" s="62" t="str"/>
      <x:c r="Q284" s="62" t="str">
        <x:v>6381839121</x:v>
      </x:c>
      <x:c r="R284" s="62" t="str">
        <x:v>0000806740</x:v>
      </x:c>
      <x:c r="S284" s="62" t="str">
        <x:v>Akcesoria Tytoniowe</x:v>
      </x:c>
      <x:c r="T284" s="62" t="str">
        <x:f>IF(AND(K284&lt;&gt;"",L284&lt;&gt;"",O284&lt;&gt;""),"Pełny",IF(OR(K284&lt;&gt;"",L284&lt;&gt;""),"Częściowy","Brak bezpośredniego kontaktu"))</x:f>
        <x:v>Pełny</x:v>
      </x:c>
      <x:c r="U284" s="62" t="str">
        <x:v>Do weryfikacji</x:v>
      </x:c>
      <x:c r="V284" s="62" t="str">
        <x:v>BILLS — hurt@bills.pl</x:v>
      </x:c>
      <x:c r="W284" s="62" t="str">
        <x:v>Archiwum lub weryfikacja przy okazji</x:v>
      </x:c>
      <x:c r="X284" s="81" t="str">
        <x:f>IF(C284&gt;=82,'Model scoringu'!$B$4,IF(C284&gt;=72,'Model scoringu'!$B$5,IF(C284&gt;=58,'Model scoringu'!$B$6,"")))</x:f>
      </x:c>
      <x:c r="Y284" s="62" t="str">
        <x:v>Sprzedaż komplementarnych akcesoriów dla palaczy.</x:v>
      </x:c>
      <x:c r="Z284" s="62" t="str">
        <x:v>https://www.hempplant.pl</x:v>
      </x:c>
      <x:c r="AA284" s="62" t="str">
        <x:v>Automatycznie pobrane przez skrypt. | Status źródłowy: Aktywny</x:v>
      </x:c>
      <x:c r="AB284" s="50" t="n">
        <x:v>18</x:v>
      </x:c>
      <x:c r="AC284" s="50" t="n">
        <x:v>15</x:v>
      </x:c>
      <x:c r="AD284" s="50" t="n">
        <x:v>7</x:v>
      </x:c>
      <x:c r="AE284" s="50" t="n">
        <x:v>13</x:v>
      </x:c>
      <x:c r="AF284" s="50" t="n">
        <x:v>8</x:v>
      </x:c>
      <x:c r="AG284" s="50" t="n">
        <x:v>7</x:v>
      </x:c>
      <x:c r="AH284" s="57" t="n">
        <x:v>30</x:v>
      </x:c>
    </x:row>
    <x:row r="285" ht="34" customHeight="1">
      <x:c r="A285" s="87" t="n">
        <x:v>283</x:v>
      </x:c>
      <x:c r="B285" s="88" t="str">
        <x:f>IF(C285&gt;=82,"A"&amp;1&amp;" — kontakt natychmiast",IF(C285&gt;=72,"A"&amp;2&amp;" — kontakt w 7 dni",IF(C285&gt;=58,"B — kampania regionalna",IF(C285&gt;=42,"C — weryfikacja i nurturing","D — niski priorytet/wykluczyć"))))</x:f>
        <x:v>D — niski priorytet/wykluczyć</x:v>
      </x:c>
      <x:c r="C285" s="88" t="n">
        <x:f>MAX(0,MIN(100,SUM(AB285:AG285)-AH285))</x:f>
        <x:v>38</x:v>
      </x:c>
      <x:c r="D285" s="62" t="str">
        <x:v>Hemp</x:v>
      </x:c>
      <x:c r="E285" s="62" t="str">
        <x:v>Potencjalny reseller / odbiorca hurtowy</x:v>
      </x:c>
      <x:c r="F285" s="62" t="str">
        <x:v>S3 — Akcesoria dla palaczy/headshop</x:v>
      </x:c>
      <x:c r="G285" s="62" t="str">
        <x:v>Hurt B2B regionalny</x:v>
      </x:c>
      <x:c r="H285" s="62" t="str">
        <x:v>Nieustalony</x:v>
      </x:c>
      <x:c r="I285" s="62" t="str"/>
      <x:c r="J285" s="62" t="str">
        <x:v>Nieustalona</x:v>
      </x:c>
      <x:c r="K285" s="62" t="str">
        <x:v>hemp@hemp.pl</x:v>
      </x:c>
      <x:c r="L285" s="62" t="str">
        <x:v>178443783</x:v>
      </x:c>
      <x:c r="M285" s="62" t="str"/>
      <x:c r="N285" s="62" t="str"/>
      <x:c r="O285" s="62" t="str">
        <x:v>https://www.hemp.pl</x:v>
      </x:c>
      <x:c r="P285" s="62" t="str"/>
      <x:c r="Q285" s="62" t="str"/>
      <x:c r="R285" s="62" t="str"/>
      <x:c r="S285" s="62" t="str">
        <x:v>Akcesoria Tytoniowe</x:v>
      </x:c>
      <x:c r="T285" s="62" t="str">
        <x:f>IF(AND(K285&lt;&gt;"",L285&lt;&gt;"",O285&lt;&gt;""),"Pełny",IF(OR(K285&lt;&gt;"",L285&lt;&gt;""),"Częściowy","Brak bezpośredniego kontaktu"))</x:f>
        <x:v>Pełny</x:v>
      </x:c>
      <x:c r="U285" s="62" t="str">
        <x:v>Do weryfikacji</x:v>
      </x:c>
      <x:c r="V285" s="62" t="str">
        <x:v>BILLS — hurt@bills.pl</x:v>
      </x:c>
      <x:c r="W285" s="62" t="str">
        <x:v>Archiwum lub weryfikacja przy okazji</x:v>
      </x:c>
      <x:c r="X285" s="81" t="str">
        <x:f>IF(C285&gt;=82,'Model scoringu'!$B$4,IF(C285&gt;=72,'Model scoringu'!$B$5,IF(C285&gt;=58,'Model scoringu'!$B$6,"")))</x:f>
      </x:c>
      <x:c r="Y285" s="62" t="str">
        <x:v>Sprzedaż komplementarnych akcesoriów dla palaczy.</x:v>
      </x:c>
      <x:c r="Z285" s="62" t="str">
        <x:v>https://www.hemp.pl</x:v>
      </x:c>
      <x:c r="AA285" s="62" t="str">
        <x:v>Automatycznie pobrane przez skrypt. | Status źródłowy: Aktywny</x:v>
      </x:c>
      <x:c r="AB285" s="50" t="n">
        <x:v>18</x:v>
      </x:c>
      <x:c r="AC285" s="50" t="n">
        <x:v>15</x:v>
      </x:c>
      <x:c r="AD285" s="50" t="n">
        <x:v>7</x:v>
      </x:c>
      <x:c r="AE285" s="50" t="n">
        <x:v>13</x:v>
      </x:c>
      <x:c r="AF285" s="50" t="n">
        <x:v>8</x:v>
      </x:c>
      <x:c r="AG285" s="50" t="n">
        <x:v>7</x:v>
      </x:c>
      <x:c r="AH285" s="57" t="n">
        <x:v>30</x:v>
      </x:c>
    </x:row>
    <x:row r="286" ht="34" customHeight="1">
      <x:c r="A286" s="87" t="n">
        <x:v>284</x:v>
      </x:c>
      <x:c r="B286" s="88" t="str">
        <x:f>IF(C286&gt;=82,"A"&amp;1&amp;" — kontakt natychmiast",IF(C286&gt;=72,"A"&amp;2&amp;" — kontakt w 7 dni",IF(C286&gt;=58,"B — kampania regionalna",IF(C286&gt;=42,"C — weryfikacja i nurturing","D — niski priorytet/wykluczyć"))))</x:f>
        <x:v>D — niski priorytet/wykluczyć</x:v>
      </x:c>
      <x:c r="C286" s="88" t="n">
        <x:f>MAX(0,MIN(100,SUM(AB286:AG286)-AH286))</x:f>
        <x:v>38</x:v>
      </x:c>
      <x:c r="D286" s="62" t="str">
        <x:v>Glas Pak</x:v>
      </x:c>
      <x:c r="E286" s="62" t="str">
        <x:v>Potencjalny reseller / odbiorca hurtowy</x:v>
      </x:c>
      <x:c r="F286" s="62" t="str">
        <x:v>S3 — Akcesoria dla palaczy/headshop</x:v>
      </x:c>
      <x:c r="G286" s="62" t="str">
        <x:v>Hurt B2B regionalny</x:v>
      </x:c>
      <x:c r="H286" s="62" t="str">
        <x:v>Nieustalony</x:v>
      </x:c>
      <x:c r="I286" s="62" t="str"/>
      <x:c r="J286" s="62" t="str">
        <x:v>Nieustalona</x:v>
      </x:c>
      <x:c r="K286" s="62" t="str">
        <x:v>logo-green-dark@2x.png</x:v>
      </x:c>
      <x:c r="L286" s="62" t="str">
        <x:v>914182435</x:v>
      </x:c>
      <x:c r="M286" s="62" t="str"/>
      <x:c r="N286" s="62" t="str"/>
      <x:c r="O286" s="62" t="str">
        <x:v>https://www.glas-pak.pl</x:v>
      </x:c>
      <x:c r="P286" s="62" t="str"/>
      <x:c r="Q286" s="62" t="str">
        <x:v>8561932969</x:v>
      </x:c>
      <x:c r="R286" s="62" t="str"/>
      <x:c r="S286" s="62" t="str">
        <x:v>Web Scraped | Akcesoria tytoniowe</x:v>
      </x:c>
      <x:c r="T286" s="62" t="str">
        <x:f>IF(AND(K286&lt;&gt;"",L286&lt;&gt;"",O286&lt;&gt;""),"Pełny",IF(OR(K286&lt;&gt;"",L286&lt;&gt;""),"Częściowy","Brak bezpośredniego kontaktu"))</x:f>
        <x:v>Pełny</x:v>
      </x:c>
      <x:c r="U286" s="62" t="str">
        <x:v>Do weryfikacji</x:v>
      </x:c>
      <x:c r="V286" s="62" t="str">
        <x:v>BILLS — hurt@bills.pl</x:v>
      </x:c>
      <x:c r="W286" s="62" t="str">
        <x:v>Archiwum lub weryfikacja przy okazji</x:v>
      </x:c>
      <x:c r="X286" s="81" t="str">
        <x:f>IF(C286&gt;=82,'Model scoringu'!$B$4,IF(C286&gt;=72,'Model scoringu'!$B$5,IF(C286&gt;=58,'Model scoringu'!$B$6,"")))</x:f>
      </x:c>
      <x:c r="Y286" s="62" t="str">
        <x:v>Sprzedaż komplementarnych akcesoriów dla palaczy.</x:v>
      </x:c>
      <x:c r="Z286" s="62" t="str">
        <x:v>https://www.glas-pak.pl</x:v>
      </x:c>
      <x:c r="AA286" s="62" t="str">
        <x:v>Automatycznie pobrane przez skrypt. | Status źródłowy: Aktywny</x:v>
      </x:c>
      <x:c r="AB286" s="50" t="n">
        <x:v>18</x:v>
      </x:c>
      <x:c r="AC286" s="50" t="n">
        <x:v>15</x:v>
      </x:c>
      <x:c r="AD286" s="50" t="n">
        <x:v>7</x:v>
      </x:c>
      <x:c r="AE286" s="50" t="n">
        <x:v>13</x:v>
      </x:c>
      <x:c r="AF286" s="50" t="n">
        <x:v>8</x:v>
      </x:c>
      <x:c r="AG286" s="50" t="n">
        <x:v>7</x:v>
      </x:c>
      <x:c r="AH286" s="57" t="n">
        <x:v>30</x:v>
      </x:c>
    </x:row>
    <x:row r="287" ht="34" customHeight="1">
      <x:c r="A287" s="87" t="n">
        <x:v>285</x:v>
      </x:c>
      <x:c r="B287" s="88" t="str">
        <x:f>IF(C287&gt;=82,"A"&amp;1&amp;" — kontakt natychmiast",IF(C287&gt;=72,"A"&amp;2&amp;" — kontakt w 7 dni",IF(C287&gt;=58,"B — kampania regionalna",IF(C287&gt;=42,"C — weryfikacja i nurturing","D — niski priorytet/wykluczyć"))))</x:f>
        <x:v>D — niski priorytet/wykluczyć</x:v>
      </x:c>
      <x:c r="C287" s="88" t="n">
        <x:f>MAX(0,MIN(100,SUM(AB287:AG287)-AH287))</x:f>
        <x:v>38</x:v>
      </x:c>
      <x:c r="D287" s="62" t="str">
        <x:v>Flowrolls</x:v>
      </x:c>
      <x:c r="E287" s="62" t="str">
        <x:v>Potencjalny reseller / odbiorca hurtowy</x:v>
      </x:c>
      <x:c r="F287" s="62" t="str">
        <x:v>S3 — Akcesoria dla palaczy/headshop</x:v>
      </x:c>
      <x:c r="G287" s="62" t="str">
        <x:v>Hurt B2B regionalny</x:v>
      </x:c>
      <x:c r="H287" s="62" t="str">
        <x:v>Nieustalony</x:v>
      </x:c>
      <x:c r="I287" s="62" t="str"/>
      <x:c r="J287" s="62" t="str">
        <x:v>Nieustalona</x:v>
      </x:c>
      <x:c r="K287" s="62" t="str">
        <x:v>info@flowrolls.pl</x:v>
      </x:c>
      <x:c r="L287" s="62" t="str">
        <x:v>178161513</x:v>
      </x:c>
      <x:c r="M287" s="62" t="str"/>
      <x:c r="N287" s="62" t="str"/>
      <x:c r="O287" s="62" t="str">
        <x:v>https://www.flowrolls.pl</x:v>
      </x:c>
      <x:c r="P287" s="62" t="str"/>
      <x:c r="Q287" s="62" t="str">
        <x:v>5252782453</x:v>
      </x:c>
      <x:c r="R287" s="62" t="str">
        <x:v>0000774565</x:v>
      </x:c>
      <x:c r="S287" s="62" t="str">
        <x:v>Web Scraped | Akcesoria tytoniowe</x:v>
      </x:c>
      <x:c r="T287" s="62" t="str">
        <x:f>IF(AND(K287&lt;&gt;"",L287&lt;&gt;"",O287&lt;&gt;""),"Pełny",IF(OR(K287&lt;&gt;"",L287&lt;&gt;""),"Częściowy","Brak bezpośredniego kontaktu"))</x:f>
        <x:v>Pełny</x:v>
      </x:c>
      <x:c r="U287" s="62" t="str">
        <x:v>Do weryfikacji</x:v>
      </x:c>
      <x:c r="V287" s="62" t="str">
        <x:v>BILLS — hurt@bills.pl</x:v>
      </x:c>
      <x:c r="W287" s="62" t="str">
        <x:v>Archiwum lub weryfikacja przy okazji</x:v>
      </x:c>
      <x:c r="X287" s="81" t="str">
        <x:f>IF(C287&gt;=82,'Model scoringu'!$B$4,IF(C287&gt;=72,'Model scoringu'!$B$5,IF(C287&gt;=58,'Model scoringu'!$B$6,"")))</x:f>
      </x:c>
      <x:c r="Y287" s="62" t="str">
        <x:v>Sprzedaż komplementarnych akcesoriów dla palaczy.</x:v>
      </x:c>
      <x:c r="Z287" s="62" t="str">
        <x:v>https://www.flowrolls.pl</x:v>
      </x:c>
      <x:c r="AA287" s="62" t="str">
        <x:v>Automatycznie pobrane przez skrypt. | Status źródłowy: Aktywny</x:v>
      </x:c>
      <x:c r="AB287" s="50" t="n">
        <x:v>18</x:v>
      </x:c>
      <x:c r="AC287" s="50" t="n">
        <x:v>15</x:v>
      </x:c>
      <x:c r="AD287" s="50" t="n">
        <x:v>7</x:v>
      </x:c>
      <x:c r="AE287" s="50" t="n">
        <x:v>13</x:v>
      </x:c>
      <x:c r="AF287" s="50" t="n">
        <x:v>8</x:v>
      </x:c>
      <x:c r="AG287" s="50" t="n">
        <x:v>7</x:v>
      </x:c>
      <x:c r="AH287" s="57" t="n">
        <x:v>30</x:v>
      </x:c>
    </x:row>
    <x:row r="288" ht="34" customHeight="1">
      <x:c r="A288" s="87" t="n">
        <x:v>286</x:v>
      </x:c>
      <x:c r="B288" s="88" t="str">
        <x:f>IF(C288&gt;=82,"A"&amp;1&amp;" — kontakt natychmiast",IF(C288&gt;=72,"A"&amp;2&amp;" — kontakt w 7 dni",IF(C288&gt;=58,"B — kampania regionalna",IF(C288&gt;=42,"C — weryfikacja i nurturing","D — niski priorytet/wykluczyć"))))</x:f>
        <x:v>D — niski priorytet/wykluczyć</x:v>
      </x:c>
      <x:c r="C288" s="88" t="n">
        <x:f>MAX(0,MIN(100,SUM(AB288:AG288)-AH288))</x:f>
        <x:v>38</x:v>
      </x:c>
      <x:c r="D288" s="62" t="str">
        <x:v>Fajowo</x:v>
      </x:c>
      <x:c r="E288" s="62" t="str">
        <x:v>Potencjalny reseller / odbiorca hurtowy</x:v>
      </x:c>
      <x:c r="F288" s="62" t="str">
        <x:v>S3 — Akcesoria dla palaczy/headshop</x:v>
      </x:c>
      <x:c r="G288" s="62" t="str">
        <x:v>Hurt B2B regionalny</x:v>
      </x:c>
      <x:c r="H288" s="62" t="str">
        <x:v>Nieustalony</x:v>
      </x:c>
      <x:c r="I288" s="62" t="str"/>
      <x:c r="J288" s="62" t="str">
        <x:v>Nieustalona</x:v>
      </x:c>
      <x:c r="K288" s="62" t="str">
        <x:v>fajowo@fajowo.eu</x:v>
      </x:c>
      <x:c r="L288" s="62" t="str">
        <x:v>407003443</x:v>
      </x:c>
      <x:c r="M288" s="62" t="str"/>
      <x:c r="N288" s="62" t="str"/>
      <x:c r="O288" s="62" t="str">
        <x:v>https://www.fajowo.eu</x:v>
      </x:c>
      <x:c r="P288" s="62" t="str"/>
      <x:c r="Q288" s="62" t="str">
        <x:v>7822308319</x:v>
      </x:c>
      <x:c r="R288" s="62" t="str">
        <x:v>0000512707</x:v>
      </x:c>
      <x:c r="S288" s="62" t="str">
        <x:v>Akcesoria Tytoniowe</x:v>
      </x:c>
      <x:c r="T288" s="62" t="str">
        <x:f>IF(AND(K288&lt;&gt;"",L288&lt;&gt;"",O288&lt;&gt;""),"Pełny",IF(OR(K288&lt;&gt;"",L288&lt;&gt;""),"Częściowy","Brak bezpośredniego kontaktu"))</x:f>
        <x:v>Pełny</x:v>
      </x:c>
      <x:c r="U288" s="62" t="str">
        <x:v>Do weryfikacji</x:v>
      </x:c>
      <x:c r="V288" s="62" t="str">
        <x:v>BILLS — hurt@bills.pl</x:v>
      </x:c>
      <x:c r="W288" s="62" t="str">
        <x:v>Archiwum lub weryfikacja przy okazji</x:v>
      </x:c>
      <x:c r="X288" s="81" t="str">
        <x:f>IF(C288&gt;=82,'Model scoringu'!$B$4,IF(C288&gt;=72,'Model scoringu'!$B$5,IF(C288&gt;=58,'Model scoringu'!$B$6,"")))</x:f>
      </x:c>
      <x:c r="Y288" s="62" t="str">
        <x:v>Sprzedaż komplementarnych akcesoriów dla palaczy.</x:v>
      </x:c>
      <x:c r="Z288" s="62" t="str">
        <x:v>https://www.fajowo.eu</x:v>
      </x:c>
      <x:c r="AA288" s="62" t="str">
        <x:v>Automatycznie pobrane przez skrypt. | Status źródłowy: Aktywny</x:v>
      </x:c>
      <x:c r="AB288" s="50" t="n">
        <x:v>18</x:v>
      </x:c>
      <x:c r="AC288" s="50" t="n">
        <x:v>15</x:v>
      </x:c>
      <x:c r="AD288" s="50" t="n">
        <x:v>7</x:v>
      </x:c>
      <x:c r="AE288" s="50" t="n">
        <x:v>13</x:v>
      </x:c>
      <x:c r="AF288" s="50" t="n">
        <x:v>8</x:v>
      </x:c>
      <x:c r="AG288" s="50" t="n">
        <x:v>7</x:v>
      </x:c>
      <x:c r="AH288" s="57" t="n">
        <x:v>30</x:v>
      </x:c>
    </x:row>
    <x:row r="289" ht="34" customHeight="1">
      <x:c r="A289" s="87" t="n">
        <x:v>287</x:v>
      </x:c>
      <x:c r="B289" s="88" t="str">
        <x:f>IF(C289&gt;=82,"A"&amp;1&amp;" — kontakt natychmiast",IF(C289&gt;=72,"A"&amp;2&amp;" — kontakt w 7 dni",IF(C289&gt;=58,"B — kampania regionalna",IF(C289&gt;=42,"C — weryfikacja i nurturing","D — niski priorytet/wykluczyć"))))</x:f>
        <x:v>D — niski priorytet/wykluczyć</x:v>
      </x:c>
      <x:c r="C289" s="88" t="n">
        <x:f>MAX(0,MIN(100,SUM(AB289:AG289)-AH289))</x:f>
        <x:v>38</x:v>
      </x:c>
      <x:c r="D289" s="62" t="str">
        <x:v>Fajkizbajki</x:v>
      </x:c>
      <x:c r="E289" s="62" t="str">
        <x:v>Potencjalny reseller / odbiorca hurtowy</x:v>
      </x:c>
      <x:c r="F289" s="62" t="str">
        <x:v>S3 — Akcesoria dla palaczy/headshop</x:v>
      </x:c>
      <x:c r="G289" s="62" t="str">
        <x:v>Hurt B2B regionalny</x:v>
      </x:c>
      <x:c r="H289" s="62" t="str">
        <x:v>Nieustalony</x:v>
      </x:c>
      <x:c r="I289" s="62" t="str"/>
      <x:c r="J289" s="62" t="str">
        <x:v>Nieustalona</x:v>
      </x:c>
      <x:c r="K289" s="62" t="str">
        <x:v>kontakt@fajkizbajki.pl</x:v>
      </x:c>
      <x:c r="L289" s="62" t="str">
        <x:v>+48888807300</x:v>
      </x:c>
      <x:c r="M289" s="62" t="str"/>
      <x:c r="N289" s="62" t="str"/>
      <x:c r="O289" s="62" t="str">
        <x:v>https://www.fajkizbajki.pl</x:v>
      </x:c>
      <x:c r="P289" s="62" t="str"/>
      <x:c r="Q289" s="62" t="str">
        <x:v>1132681658</x:v>
      </x:c>
      <x:c r="R289" s="62" t="str"/>
      <x:c r="S289" s="62" t="str">
        <x:v>Akcesoria Tytoniowe</x:v>
      </x:c>
      <x:c r="T289" s="62" t="str">
        <x:f>IF(AND(K289&lt;&gt;"",L289&lt;&gt;"",O289&lt;&gt;""),"Pełny",IF(OR(K289&lt;&gt;"",L289&lt;&gt;""),"Częściowy","Brak bezpośredniego kontaktu"))</x:f>
        <x:v>Pełny</x:v>
      </x:c>
      <x:c r="U289" s="62" t="str">
        <x:v>Do weryfikacji</x:v>
      </x:c>
      <x:c r="V289" s="62" t="str">
        <x:v>BILLS — hurt@bills.pl</x:v>
      </x:c>
      <x:c r="W289" s="62" t="str">
        <x:v>Archiwum lub weryfikacja przy okazji</x:v>
      </x:c>
      <x:c r="X289" s="81" t="str">
        <x:f>IF(C289&gt;=82,'Model scoringu'!$B$4,IF(C289&gt;=72,'Model scoringu'!$B$5,IF(C289&gt;=58,'Model scoringu'!$B$6,"")))</x:f>
      </x:c>
      <x:c r="Y289" s="62" t="str">
        <x:v>Sprzedaż komplementarnych akcesoriów dla palaczy.</x:v>
      </x:c>
      <x:c r="Z289" s="62" t="str">
        <x:v>https://www.fajkizbajki.pl</x:v>
      </x:c>
      <x:c r="AA289" s="62" t="str">
        <x:v>Automatycznie pobrane przez skrypt. | Status źródłowy: Aktywny</x:v>
      </x:c>
      <x:c r="AB289" s="50" t="n">
        <x:v>18</x:v>
      </x:c>
      <x:c r="AC289" s="50" t="n">
        <x:v>15</x:v>
      </x:c>
      <x:c r="AD289" s="50" t="n">
        <x:v>7</x:v>
      </x:c>
      <x:c r="AE289" s="50" t="n">
        <x:v>13</x:v>
      </x:c>
      <x:c r="AF289" s="50" t="n">
        <x:v>8</x:v>
      </x:c>
      <x:c r="AG289" s="50" t="n">
        <x:v>7</x:v>
      </x:c>
      <x:c r="AH289" s="57" t="n">
        <x:v>30</x:v>
      </x:c>
    </x:row>
    <x:row r="290" ht="34" customHeight="1">
      <x:c r="A290" s="87" t="n">
        <x:v>288</x:v>
      </x:c>
      <x:c r="B290" s="88" t="str">
        <x:f>IF(C290&gt;=82,"A"&amp;1&amp;" — kontakt natychmiast",IF(C290&gt;=72,"A"&amp;2&amp;" — kontakt w 7 dni",IF(C290&gt;=58,"B — kampania regionalna",IF(C290&gt;=42,"C — weryfikacja i nurturing","D — niski priorytet/wykluczyć"))))</x:f>
        <x:v>D — niski priorytet/wykluczyć</x:v>
      </x:c>
      <x:c r="C290" s="88" t="n">
        <x:f>MAX(0,MIN(100,SUM(AB290:AG290)-AH290))</x:f>
        <x:v>38</x:v>
      </x:c>
      <x:c r="D290" s="62" t="str">
        <x:v>Eirhealth</x:v>
      </x:c>
      <x:c r="E290" s="62" t="str">
        <x:v>Potencjalny reseller / odbiorca hurtowy</x:v>
      </x:c>
      <x:c r="F290" s="62" t="str">
        <x:v>S3 — Akcesoria dla palaczy/headshop</x:v>
      </x:c>
      <x:c r="G290" s="62" t="str">
        <x:v>Hurt B2B regionalny</x:v>
      </x:c>
      <x:c r="H290" s="62" t="str">
        <x:v>Nieustalony</x:v>
      </x:c>
      <x:c r="I290" s="62" t="str"/>
      <x:c r="J290" s="62" t="str">
        <x:v>Nieustalona</x:v>
      </x:c>
      <x:c r="K290" s="62" t="str">
        <x:v>xxx@xxx.xxx</x:v>
      </x:c>
      <x:c r="L290" s="62" t="str">
        <x:v>168082457</x:v>
      </x:c>
      <x:c r="M290" s="62" t="str"/>
      <x:c r="N290" s="62" t="str"/>
      <x:c r="O290" s="62" t="str">
        <x:v>https://www.eirhealth.pl</x:v>
      </x:c>
      <x:c r="P290" s="62" t="str"/>
      <x:c r="Q290" s="62" t="str"/>
      <x:c r="R290" s="62" t="str"/>
      <x:c r="S290" s="62" t="str">
        <x:v>Akcesoria Tytoniowe</x:v>
      </x:c>
      <x:c r="T290" s="62" t="str">
        <x:f>IF(AND(K290&lt;&gt;"",L290&lt;&gt;"",O290&lt;&gt;""),"Pełny",IF(OR(K290&lt;&gt;"",L290&lt;&gt;""),"Częściowy","Brak bezpośredniego kontaktu"))</x:f>
        <x:v>Pełny</x:v>
      </x:c>
      <x:c r="U290" s="62" t="str">
        <x:v>Do weryfikacji</x:v>
      </x:c>
      <x:c r="V290" s="62" t="str">
        <x:v>BILLS — hurt@bills.pl</x:v>
      </x:c>
      <x:c r="W290" s="62" t="str">
        <x:v>Archiwum lub weryfikacja przy okazji</x:v>
      </x:c>
      <x:c r="X290" s="81" t="str">
        <x:f>IF(C290&gt;=82,'Model scoringu'!$B$4,IF(C290&gt;=72,'Model scoringu'!$B$5,IF(C290&gt;=58,'Model scoringu'!$B$6,"")))</x:f>
      </x:c>
      <x:c r="Y290" s="62" t="str">
        <x:v>Sprzedaż komplementarnych akcesoriów dla palaczy.</x:v>
      </x:c>
      <x:c r="Z290" s="62" t="str">
        <x:v>https://www.eirhealth.pl</x:v>
      </x:c>
      <x:c r="AA290" s="62" t="str">
        <x:v>Automatycznie pobrane przez skrypt. | Status źródłowy: Aktywny</x:v>
      </x:c>
      <x:c r="AB290" s="50" t="n">
        <x:v>18</x:v>
      </x:c>
      <x:c r="AC290" s="50" t="n">
        <x:v>15</x:v>
      </x:c>
      <x:c r="AD290" s="50" t="n">
        <x:v>7</x:v>
      </x:c>
      <x:c r="AE290" s="50" t="n">
        <x:v>13</x:v>
      </x:c>
      <x:c r="AF290" s="50" t="n">
        <x:v>8</x:v>
      </x:c>
      <x:c r="AG290" s="50" t="n">
        <x:v>7</x:v>
      </x:c>
      <x:c r="AH290" s="57" t="n">
        <x:v>30</x:v>
      </x:c>
    </x:row>
    <x:row r="291" ht="34" customHeight="1">
      <x:c r="A291" s="87" t="n">
        <x:v>289</x:v>
      </x:c>
      <x:c r="B291" s="88" t="str">
        <x:f>IF(C291&gt;=82,"A"&amp;1&amp;" — kontakt natychmiast",IF(C291&gt;=72,"A"&amp;2&amp;" — kontakt w 7 dni",IF(C291&gt;=58,"B — kampania regionalna",IF(C291&gt;=42,"C — weryfikacja i nurturing","D — niski priorytet/wykluczyć"))))</x:f>
        <x:v>D — niski priorytet/wykluczyć</x:v>
      </x:c>
      <x:c r="C291" s="88" t="n">
        <x:f>MAX(0,MIN(100,SUM(AB291:AG291)-AH291))</x:f>
        <x:v>38</x:v>
      </x:c>
      <x:c r="D291" s="62" t="str">
        <x:v>Drziolko</x:v>
      </x:c>
      <x:c r="E291" s="62" t="str">
        <x:v>Potencjalny reseller / odbiorca hurtowy</x:v>
      </x:c>
      <x:c r="F291" s="62" t="str">
        <x:v>S3 — Akcesoria dla palaczy/headshop</x:v>
      </x:c>
      <x:c r="G291" s="62" t="str">
        <x:v>Hurt B2B regionalny</x:v>
      </x:c>
      <x:c r="H291" s="62" t="str">
        <x:v>Nieustalony</x:v>
      </x:c>
      <x:c r="I291" s="62" t="str"/>
      <x:c r="J291" s="62" t="str">
        <x:v>Nieustalona</x:v>
      </x:c>
      <x:c r="K291" s="62" t="str">
        <x:v>sklep@drziolko.pl</x:v>
      </x:c>
      <x:c r="L291" s="62" t="str">
        <x:v>506 155 740</x:v>
      </x:c>
      <x:c r="M291" s="62" t="str"/>
      <x:c r="N291" s="62" t="str"/>
      <x:c r="O291" s="62" t="str">
        <x:v>https://www.drziolko.pl</x:v>
      </x:c>
      <x:c r="P291" s="62" t="str"/>
      <x:c r="Q291" s="62" t="str"/>
      <x:c r="R291" s="62" t="str"/>
      <x:c r="S291" s="62" t="str">
        <x:v>Akcesoria Tytoniowe</x:v>
      </x:c>
      <x:c r="T291" s="62" t="str">
        <x:f>IF(AND(K291&lt;&gt;"",L291&lt;&gt;"",O291&lt;&gt;""),"Pełny",IF(OR(K291&lt;&gt;"",L291&lt;&gt;""),"Częściowy","Brak bezpośredniego kontaktu"))</x:f>
        <x:v>Pełny</x:v>
      </x:c>
      <x:c r="U291" s="62" t="str">
        <x:v>Do weryfikacji</x:v>
      </x:c>
      <x:c r="V291" s="62" t="str">
        <x:v>BILLS — hurt@bills.pl</x:v>
      </x:c>
      <x:c r="W291" s="62" t="str">
        <x:v>Archiwum lub weryfikacja przy okazji</x:v>
      </x:c>
      <x:c r="X291" s="81" t="str">
        <x:f>IF(C291&gt;=82,'Model scoringu'!$B$4,IF(C291&gt;=72,'Model scoringu'!$B$5,IF(C291&gt;=58,'Model scoringu'!$B$6,"")))</x:f>
      </x:c>
      <x:c r="Y291" s="62" t="str">
        <x:v>Sprzedaż komplementarnych akcesoriów dla palaczy.</x:v>
      </x:c>
      <x:c r="Z291" s="62" t="str">
        <x:v>https://www.drziolko.pl</x:v>
      </x:c>
      <x:c r="AA291" s="62" t="str">
        <x:v>Automatycznie pobrane przez skrypt. | Status źródłowy: Aktywny</x:v>
      </x:c>
      <x:c r="AB291" s="50" t="n">
        <x:v>18</x:v>
      </x:c>
      <x:c r="AC291" s="50" t="n">
        <x:v>15</x:v>
      </x:c>
      <x:c r="AD291" s="50" t="n">
        <x:v>7</x:v>
      </x:c>
      <x:c r="AE291" s="50" t="n">
        <x:v>13</x:v>
      </x:c>
      <x:c r="AF291" s="50" t="n">
        <x:v>8</x:v>
      </x:c>
      <x:c r="AG291" s="50" t="n">
        <x:v>7</x:v>
      </x:c>
      <x:c r="AH291" s="57" t="n">
        <x:v>30</x:v>
      </x:c>
    </x:row>
    <x:row r="292" ht="34" customHeight="1">
      <x:c r="A292" s="87" t="n">
        <x:v>290</x:v>
      </x:c>
      <x:c r="B292" s="88" t="str">
        <x:f>IF(C292&gt;=82,"A"&amp;1&amp;" — kontakt natychmiast",IF(C292&gt;=72,"A"&amp;2&amp;" — kontakt w 7 dni",IF(C292&gt;=58,"B — kampania regionalna",IF(C292&gt;=42,"C — weryfikacja i nurturing","D — niski priorytet/wykluczyć"))))</x:f>
        <x:v>D — niski priorytet/wykluczyć</x:v>
      </x:c>
      <x:c r="C292" s="88" t="n">
        <x:f>MAX(0,MIN(100,SUM(AB292:AG292)-AH292))</x:f>
        <x:v>38</x:v>
      </x:c>
      <x:c r="D292" s="62" t="str">
        <x:v>Domowauprawa</x:v>
      </x:c>
      <x:c r="E292" s="62" t="str">
        <x:v>Potencjalny reseller / odbiorca hurtowy</x:v>
      </x:c>
      <x:c r="F292" s="62" t="str">
        <x:v>S3 — Akcesoria dla palaczy/headshop</x:v>
      </x:c>
      <x:c r="G292" s="62" t="str">
        <x:v>Hurt B2B regionalny</x:v>
      </x:c>
      <x:c r="H292" s="62" t="str">
        <x:v>Nieustalony</x:v>
      </x:c>
      <x:c r="I292" s="62" t="str"/>
      <x:c r="J292" s="62" t="str">
        <x:v>Nieustalona</x:v>
      </x:c>
      <x:c r="K292" s="62" t="str">
        <x:v>sklep@domowauprawa.pl</x:v>
      </x:c>
      <x:c r="L292" s="62" t="str">
        <x:v>172500182</x:v>
      </x:c>
      <x:c r="M292" s="62" t="str"/>
      <x:c r="N292" s="62" t="str"/>
      <x:c r="O292" s="62" t="str">
        <x:v>https://www.domowauprawa.pl</x:v>
      </x:c>
      <x:c r="P292" s="62" t="str"/>
      <x:c r="Q292" s="62" t="str"/>
      <x:c r="R292" s="62" t="str"/>
      <x:c r="S292" s="62" t="str">
        <x:v>Akcesoria Tytoniowe</x:v>
      </x:c>
      <x:c r="T292" s="62" t="str">
        <x:f>IF(AND(K292&lt;&gt;"",L292&lt;&gt;"",O292&lt;&gt;""),"Pełny",IF(OR(K292&lt;&gt;"",L292&lt;&gt;""),"Częściowy","Brak bezpośredniego kontaktu"))</x:f>
        <x:v>Pełny</x:v>
      </x:c>
      <x:c r="U292" s="62" t="str">
        <x:v>Do weryfikacji</x:v>
      </x:c>
      <x:c r="V292" s="62" t="str">
        <x:v>BILLS — hurt@bills.pl</x:v>
      </x:c>
      <x:c r="W292" s="62" t="str">
        <x:v>Archiwum lub weryfikacja przy okazji</x:v>
      </x:c>
      <x:c r="X292" s="81" t="str">
        <x:f>IF(C292&gt;=82,'Model scoringu'!$B$4,IF(C292&gt;=72,'Model scoringu'!$B$5,IF(C292&gt;=58,'Model scoringu'!$B$6,"")))</x:f>
      </x:c>
      <x:c r="Y292" s="62" t="str">
        <x:v>Sprzedaż komplementarnych akcesoriów dla palaczy.</x:v>
      </x:c>
      <x:c r="Z292" s="62" t="str">
        <x:v>https://www.domowauprawa.pl</x:v>
      </x:c>
      <x:c r="AA292" s="62" t="str">
        <x:v>Automatycznie pobrane przez skrypt. | Status źródłowy: Aktywny</x:v>
      </x:c>
      <x:c r="AB292" s="50" t="n">
        <x:v>18</x:v>
      </x:c>
      <x:c r="AC292" s="50" t="n">
        <x:v>15</x:v>
      </x:c>
      <x:c r="AD292" s="50" t="n">
        <x:v>7</x:v>
      </x:c>
      <x:c r="AE292" s="50" t="n">
        <x:v>13</x:v>
      </x:c>
      <x:c r="AF292" s="50" t="n">
        <x:v>8</x:v>
      </x:c>
      <x:c r="AG292" s="50" t="n">
        <x:v>7</x:v>
      </x:c>
      <x:c r="AH292" s="57" t="n">
        <x:v>30</x:v>
      </x:c>
    </x:row>
    <x:row r="293" ht="34" customHeight="1">
      <x:c r="A293" s="87" t="n">
        <x:v>291</x:v>
      </x:c>
      <x:c r="B293" s="88" t="str">
        <x:f>IF(C293&gt;=82,"A"&amp;1&amp;" — kontakt natychmiast",IF(C293&gt;=72,"A"&amp;2&amp;" — kontakt w 7 dni",IF(C293&gt;=58,"B — kampania regionalna",IF(C293&gt;=42,"C — weryfikacja i nurturing","D — niski priorytet/wykluczyć"))))</x:f>
        <x:v>D — niski priorytet/wykluczyć</x:v>
      </x:c>
      <x:c r="C293" s="88" t="n">
        <x:f>MAX(0,MIN(100,SUM(AB293:AG293)-AH293))</x:f>
        <x:v>38</x:v>
      </x:c>
      <x:c r="D293" s="62" t="str">
        <x:v>Cbdremedium</x:v>
      </x:c>
      <x:c r="E293" s="62" t="str">
        <x:v>Potencjalny reseller / odbiorca hurtowy</x:v>
      </x:c>
      <x:c r="F293" s="62" t="str">
        <x:v>S3 — Akcesoria dla palaczy/headshop</x:v>
      </x:c>
      <x:c r="G293" s="62" t="str">
        <x:v>Hurt B2B regionalny</x:v>
      </x:c>
      <x:c r="H293" s="62" t="str">
        <x:v>Nieustalony</x:v>
      </x:c>
      <x:c r="I293" s="62" t="str"/>
      <x:c r="J293" s="62" t="str">
        <x:v>Nieustalona</x:v>
      </x:c>
      <x:c r="K293" s="62" t="str">
        <x:v>kontakt@cbdremedium.pl</x:v>
      </x:c>
      <x:c r="L293" s="62" t="str">
        <x:v>699 713 842</x:v>
      </x:c>
      <x:c r="M293" s="62" t="str"/>
      <x:c r="N293" s="62" t="str"/>
      <x:c r="O293" s="62" t="str">
        <x:v>https://www.cbdremedium.pl</x:v>
      </x:c>
      <x:c r="P293" s="62" t="str"/>
      <x:c r="Q293" s="62" t="str">
        <x:v>6381758977</x:v>
      </x:c>
      <x:c r="R293" s="62" t="str"/>
      <x:c r="S293" s="62" t="str">
        <x:v>Akcesoria Tytoniowe</x:v>
      </x:c>
      <x:c r="T293" s="62" t="str">
        <x:f>IF(AND(K293&lt;&gt;"",L293&lt;&gt;"",O293&lt;&gt;""),"Pełny",IF(OR(K293&lt;&gt;"",L293&lt;&gt;""),"Częściowy","Brak bezpośredniego kontaktu"))</x:f>
        <x:v>Pełny</x:v>
      </x:c>
      <x:c r="U293" s="62" t="str">
        <x:v>Do weryfikacji</x:v>
      </x:c>
      <x:c r="V293" s="62" t="str">
        <x:v>BILLS — hurt@bills.pl</x:v>
      </x:c>
      <x:c r="W293" s="62" t="str">
        <x:v>Archiwum lub weryfikacja przy okazji</x:v>
      </x:c>
      <x:c r="X293" s="81" t="str">
        <x:f>IF(C293&gt;=82,'Model scoringu'!$B$4,IF(C293&gt;=72,'Model scoringu'!$B$5,IF(C293&gt;=58,'Model scoringu'!$B$6,"")))</x:f>
      </x:c>
      <x:c r="Y293" s="62" t="str">
        <x:v>Sprzedaż komplementarnych akcesoriów dla palaczy.</x:v>
      </x:c>
      <x:c r="Z293" s="62" t="str">
        <x:v>https://www.cbdremedium.pl</x:v>
      </x:c>
      <x:c r="AA293" s="62" t="str">
        <x:v>Automatycznie pobrane przez skrypt. | Status źródłowy: Aktywny</x:v>
      </x:c>
      <x:c r="AB293" s="50" t="n">
        <x:v>18</x:v>
      </x:c>
      <x:c r="AC293" s="50" t="n">
        <x:v>15</x:v>
      </x:c>
      <x:c r="AD293" s="50" t="n">
        <x:v>7</x:v>
      </x:c>
      <x:c r="AE293" s="50" t="n">
        <x:v>13</x:v>
      </x:c>
      <x:c r="AF293" s="50" t="n">
        <x:v>8</x:v>
      </x:c>
      <x:c r="AG293" s="50" t="n">
        <x:v>7</x:v>
      </x:c>
      <x:c r="AH293" s="57" t="n">
        <x:v>30</x:v>
      </x:c>
    </x:row>
    <x:row r="294" ht="34" customHeight="1">
      <x:c r="A294" s="87" t="n">
        <x:v>292</x:v>
      </x:c>
      <x:c r="B294" s="88" t="str">
        <x:f>IF(C294&gt;=82,"A"&amp;1&amp;" — kontakt natychmiast",IF(C294&gt;=72,"A"&amp;2&amp;" — kontakt w 7 dni",IF(C294&gt;=58,"B — kampania regionalna",IF(C294&gt;=42,"C — weryfikacja i nurturing","D — niski priorytet/wykluczyć"))))</x:f>
        <x:v>D — niski priorytet/wykluczyć</x:v>
      </x:c>
      <x:c r="C294" s="88" t="n">
        <x:f>MAX(0,MIN(100,SUM(AB294:AG294)-AH294))</x:f>
        <x:v>38</x:v>
      </x:c>
      <x:c r="D294" s="62" t="str">
        <x:v>Cbdking</x:v>
      </x:c>
      <x:c r="E294" s="62" t="str">
        <x:v>Potencjalny reseller / odbiorca hurtowy</x:v>
      </x:c>
      <x:c r="F294" s="62" t="str">
        <x:v>S3 — Akcesoria dla palaczy/headshop</x:v>
      </x:c>
      <x:c r="G294" s="62" t="str">
        <x:v>Hurt B2B regionalny</x:v>
      </x:c>
      <x:c r="H294" s="62" t="str">
        <x:v>Nieustalony</x:v>
      </x:c>
      <x:c r="I294" s="62" t="str"/>
      <x:c r="J294" s="62" t="str">
        <x:v>Nieustalona</x:v>
      </x:c>
      <x:c r="K294" s="62" t="str">
        <x:v>kontakt@cbdking.pl</x:v>
      </x:c>
      <x:c r="L294" s="62" t="str">
        <x:v>+48728104685</x:v>
      </x:c>
      <x:c r="M294" s="62" t="str"/>
      <x:c r="N294" s="62" t="str"/>
      <x:c r="O294" s="62" t="str">
        <x:v>https://www.cbdking.pl</x:v>
      </x:c>
      <x:c r="P294" s="62" t="str"/>
      <x:c r="Q294" s="62" t="str">
        <x:v>8992889830</x:v>
      </x:c>
      <x:c r="R294" s="62" t="str"/>
      <x:c r="S294" s="62" t="str">
        <x:v>Akcesoria Tytoniowe</x:v>
      </x:c>
      <x:c r="T294" s="62" t="str">
        <x:f>IF(AND(K294&lt;&gt;"",L294&lt;&gt;"",O294&lt;&gt;""),"Pełny",IF(OR(K294&lt;&gt;"",L294&lt;&gt;""),"Częściowy","Brak bezpośredniego kontaktu"))</x:f>
        <x:v>Pełny</x:v>
      </x:c>
      <x:c r="U294" s="62" t="str">
        <x:v>Do weryfikacji</x:v>
      </x:c>
      <x:c r="V294" s="62" t="str">
        <x:v>BILLS — hurt@bills.pl</x:v>
      </x:c>
      <x:c r="W294" s="62" t="str">
        <x:v>Archiwum lub weryfikacja przy okazji</x:v>
      </x:c>
      <x:c r="X294" s="81" t="str">
        <x:f>IF(C294&gt;=82,'Model scoringu'!$B$4,IF(C294&gt;=72,'Model scoringu'!$B$5,IF(C294&gt;=58,'Model scoringu'!$B$6,"")))</x:f>
      </x:c>
      <x:c r="Y294" s="62" t="str">
        <x:v>Sprzedaż komplementarnych akcesoriów dla palaczy.</x:v>
      </x:c>
      <x:c r="Z294" s="62" t="str">
        <x:v>https://www.cbdking.pl</x:v>
      </x:c>
      <x:c r="AA294" s="62" t="str">
        <x:v>Automatycznie pobrane przez skrypt. | Status źródłowy: Aktywny</x:v>
      </x:c>
      <x:c r="AB294" s="50" t="n">
        <x:v>18</x:v>
      </x:c>
      <x:c r="AC294" s="50" t="n">
        <x:v>15</x:v>
      </x:c>
      <x:c r="AD294" s="50" t="n">
        <x:v>7</x:v>
      </x:c>
      <x:c r="AE294" s="50" t="n">
        <x:v>13</x:v>
      </x:c>
      <x:c r="AF294" s="50" t="n">
        <x:v>8</x:v>
      </x:c>
      <x:c r="AG294" s="50" t="n">
        <x:v>7</x:v>
      </x:c>
      <x:c r="AH294" s="57" t="n">
        <x:v>30</x:v>
      </x:c>
    </x:row>
    <x:row r="295" ht="34" customHeight="1">
      <x:c r="A295" s="87" t="n">
        <x:v>293</x:v>
      </x:c>
      <x:c r="B295" s="88" t="str">
        <x:f>IF(C295&gt;=82,"A"&amp;1&amp;" — kontakt natychmiast",IF(C295&gt;=72,"A"&amp;2&amp;" — kontakt w 7 dni",IF(C295&gt;=58,"B — kampania regionalna",IF(C295&gt;=42,"C — weryfikacja i nurturing","D — niski priorytet/wykluczyć"))))</x:f>
        <x:v>D — niski priorytet/wykluczyć</x:v>
      </x:c>
      <x:c r="C295" s="88" t="n">
        <x:f>MAX(0,MIN(100,SUM(AB295:AG295)-AH295))</x:f>
        <x:v>38</x:v>
      </x:c>
      <x:c r="D295" s="62" t="str">
        <x:v>Cbdb2B</x:v>
      </x:c>
      <x:c r="E295" s="62" t="str">
        <x:v>Potencjalny reseller / odbiorca hurtowy</x:v>
      </x:c>
      <x:c r="F295" s="62" t="str">
        <x:v>S3 — Akcesoria dla palaczy/headshop</x:v>
      </x:c>
      <x:c r="G295" s="62" t="str">
        <x:v>Hurt B2B regionalny</x:v>
      </x:c>
      <x:c r="H295" s="62" t="str">
        <x:v>Nieustalony</x:v>
      </x:c>
      <x:c r="I295" s="62" t="str"/>
      <x:c r="J295" s="62" t="str">
        <x:v>Nieustalona</x:v>
      </x:c>
      <x:c r="K295" s="62" t="str">
        <x:v>biuro@sativa-poland.pl</x:v>
      </x:c>
      <x:c r="L295" s="62" t="str">
        <x:v>178443783</x:v>
      </x:c>
      <x:c r="M295" s="62" t="str"/>
      <x:c r="N295" s="62" t="str"/>
      <x:c r="O295" s="62" t="str">
        <x:v>https://www.cbdb2b.pl</x:v>
      </x:c>
      <x:c r="P295" s="62" t="str"/>
      <x:c r="Q295" s="62" t="str"/>
      <x:c r="R295" s="62" t="str"/>
      <x:c r="S295" s="62" t="str">
        <x:v>Akcesoria Tytoniowe</x:v>
      </x:c>
      <x:c r="T295" s="62" t="str">
        <x:f>IF(AND(K295&lt;&gt;"",L295&lt;&gt;"",O295&lt;&gt;""),"Pełny",IF(OR(K295&lt;&gt;"",L295&lt;&gt;""),"Częściowy","Brak bezpośredniego kontaktu"))</x:f>
        <x:v>Pełny</x:v>
      </x:c>
      <x:c r="U295" s="62" t="str">
        <x:v>Do weryfikacji</x:v>
      </x:c>
      <x:c r="V295" s="62" t="str">
        <x:v>BILLS — hurt@bills.pl</x:v>
      </x:c>
      <x:c r="W295" s="62" t="str">
        <x:v>Archiwum lub weryfikacja przy okazji</x:v>
      </x:c>
      <x:c r="X295" s="81" t="str">
        <x:f>IF(C295&gt;=82,'Model scoringu'!$B$4,IF(C295&gt;=72,'Model scoringu'!$B$5,IF(C295&gt;=58,'Model scoringu'!$B$6,"")))</x:f>
      </x:c>
      <x:c r="Y295" s="62" t="str">
        <x:v>Sprzedaż komplementarnych akcesoriów dla palaczy.</x:v>
      </x:c>
      <x:c r="Z295" s="62" t="str">
        <x:v>https://www.cbdb2b.pl</x:v>
      </x:c>
      <x:c r="AA295" s="62" t="str">
        <x:v>Automatycznie pobrane przez skrypt. | Status źródłowy: Aktywny</x:v>
      </x:c>
      <x:c r="AB295" s="50" t="n">
        <x:v>18</x:v>
      </x:c>
      <x:c r="AC295" s="50" t="n">
        <x:v>15</x:v>
      </x:c>
      <x:c r="AD295" s="50" t="n">
        <x:v>7</x:v>
      </x:c>
      <x:c r="AE295" s="50" t="n">
        <x:v>13</x:v>
      </x:c>
      <x:c r="AF295" s="50" t="n">
        <x:v>8</x:v>
      </x:c>
      <x:c r="AG295" s="50" t="n">
        <x:v>7</x:v>
      </x:c>
      <x:c r="AH295" s="57" t="n">
        <x:v>30</x:v>
      </x:c>
    </x:row>
    <x:row r="296" ht="34" customHeight="1">
      <x:c r="A296" s="87" t="n">
        <x:v>294</x:v>
      </x:c>
      <x:c r="B296" s="88" t="str">
        <x:f>IF(C296&gt;=82,"A"&amp;1&amp;" — kontakt natychmiast",IF(C296&gt;=72,"A"&amp;2&amp;" — kontakt w 7 dni",IF(C296&gt;=58,"B — kampania regionalna",IF(C296&gt;=42,"C — weryfikacja i nurturing","D — niski priorytet/wykluczyć"))))</x:f>
        <x:v>D — niski priorytet/wykluczyć</x:v>
      </x:c>
      <x:c r="C296" s="88" t="n">
        <x:f>MAX(0,MIN(100,SUM(AB296:AG296)-AH296))</x:f>
        <x:v>38</x:v>
      </x:c>
      <x:c r="D296" s="62" t="str">
        <x:v>Cannabis Spot</x:v>
      </x:c>
      <x:c r="E296" s="62" t="str">
        <x:v>Potencjalny reseller / odbiorca hurtowy</x:v>
      </x:c>
      <x:c r="F296" s="62" t="str">
        <x:v>S3 — Akcesoria dla palaczy/headshop</x:v>
      </x:c>
      <x:c r="G296" s="62" t="str">
        <x:v>Hurt B2B regionalny</x:v>
      </x:c>
      <x:c r="H296" s="62" t="str">
        <x:v>Nieustalony</x:v>
      </x:c>
      <x:c r="I296" s="62" t="str"/>
      <x:c r="J296" s="62" t="str">
        <x:v>Nieustalona</x:v>
      </x:c>
      <x:c r="K296" s="62" t="str">
        <x:v>kontakt@cannabis-spot.pl</x:v>
      </x:c>
      <x:c r="L296" s="62" t="str">
        <x:v>175805544</x:v>
      </x:c>
      <x:c r="M296" s="62" t="str"/>
      <x:c r="N296" s="62" t="str"/>
      <x:c r="O296" s="62" t="str">
        <x:v>https://www.cannabis-spot.pl</x:v>
      </x:c>
      <x:c r="P296" s="62" t="str"/>
      <x:c r="Q296" s="62" t="str">
        <x:v>6342974613</x:v>
      </x:c>
      <x:c r="R296" s="62" t="str">
        <x:v>0000833590</x:v>
      </x:c>
      <x:c r="S296" s="62" t="str">
        <x:v>Akcesoria Tytoniowe</x:v>
      </x:c>
      <x:c r="T296" s="62" t="str">
        <x:f>IF(AND(K296&lt;&gt;"",L296&lt;&gt;"",O296&lt;&gt;""),"Pełny",IF(OR(K296&lt;&gt;"",L296&lt;&gt;""),"Częściowy","Brak bezpośredniego kontaktu"))</x:f>
        <x:v>Pełny</x:v>
      </x:c>
      <x:c r="U296" s="62" t="str">
        <x:v>Do weryfikacji</x:v>
      </x:c>
      <x:c r="V296" s="62" t="str">
        <x:v>BILLS — hurt@bills.pl</x:v>
      </x:c>
      <x:c r="W296" s="62" t="str">
        <x:v>Archiwum lub weryfikacja przy okazji</x:v>
      </x:c>
      <x:c r="X296" s="81" t="str">
        <x:f>IF(C296&gt;=82,'Model scoringu'!$B$4,IF(C296&gt;=72,'Model scoringu'!$B$5,IF(C296&gt;=58,'Model scoringu'!$B$6,"")))</x:f>
      </x:c>
      <x:c r="Y296" s="62" t="str">
        <x:v>Sprzedaż komplementarnych akcesoriów dla palaczy.</x:v>
      </x:c>
      <x:c r="Z296" s="62" t="str">
        <x:v>https://www.cannabis-spot.pl</x:v>
      </x:c>
      <x:c r="AA296" s="62" t="str">
        <x:v>Automatycznie pobrane przez skrypt. | Status źródłowy: Aktywny</x:v>
      </x:c>
      <x:c r="AB296" s="50" t="n">
        <x:v>18</x:v>
      </x:c>
      <x:c r="AC296" s="50" t="n">
        <x:v>15</x:v>
      </x:c>
      <x:c r="AD296" s="50" t="n">
        <x:v>7</x:v>
      </x:c>
      <x:c r="AE296" s="50" t="n">
        <x:v>13</x:v>
      </x:c>
      <x:c r="AF296" s="50" t="n">
        <x:v>8</x:v>
      </x:c>
      <x:c r="AG296" s="50" t="n">
        <x:v>7</x:v>
      </x:c>
      <x:c r="AH296" s="57" t="n">
        <x:v>30</x:v>
      </x:c>
    </x:row>
    <x:row r="297" ht="34" customHeight="1">
      <x:c r="A297" s="87" t="n">
        <x:v>295</x:v>
      </x:c>
      <x:c r="B297" s="88" t="str">
        <x:f>IF(C297&gt;=82,"A"&amp;1&amp;" — kontakt natychmiast",IF(C297&gt;=72,"A"&amp;2&amp;" — kontakt w 7 dni",IF(C297&gt;=58,"B — kampania regionalna",IF(C297&gt;=42,"C — weryfikacja i nurturing","D — niski priorytet/wykluczyć"))))</x:f>
        <x:v>D — niski priorytet/wykluczyć</x:v>
      </x:c>
      <x:c r="C297" s="88" t="n">
        <x:f>MAX(0,MIN(100,SUM(AB297:AG297)-AH297))</x:f>
        <x:v>38</x:v>
      </x:c>
      <x:c r="D297" s="62" t="str">
        <x:v>Biokonopia</x:v>
      </x:c>
      <x:c r="E297" s="62" t="str">
        <x:v>Potencjalny reseller / odbiorca hurtowy</x:v>
      </x:c>
      <x:c r="F297" s="62" t="str">
        <x:v>S3 — Akcesoria dla palaczy/headshop</x:v>
      </x:c>
      <x:c r="G297" s="62" t="str">
        <x:v>Hurt B2B regionalny</x:v>
      </x:c>
      <x:c r="H297" s="62" t="str">
        <x:v>Nieustalony</x:v>
      </x:c>
      <x:c r="I297" s="62" t="str"/>
      <x:c r="J297" s="62" t="str">
        <x:v>Nieustalona</x:v>
      </x:c>
      <x:c r="K297" s="62" t="str">
        <x:v>info@biokonopia.pl</x:v>
      </x:c>
      <x:c r="L297" s="62" t="str">
        <x:v>157682357</x:v>
      </x:c>
      <x:c r="M297" s="62" t="str"/>
      <x:c r="N297" s="62" t="str"/>
      <x:c r="O297" s="62" t="str">
        <x:v>https://www.biokonopia.pl</x:v>
      </x:c>
      <x:c r="P297" s="62" t="str"/>
      <x:c r="Q297" s="62" t="str"/>
      <x:c r="R297" s="62" t="str"/>
      <x:c r="S297" s="62" t="str">
        <x:v>Akcesoria Tytoniowe</x:v>
      </x:c>
      <x:c r="T297" s="62" t="str">
        <x:f>IF(AND(K297&lt;&gt;"",L297&lt;&gt;"",O297&lt;&gt;""),"Pełny",IF(OR(K297&lt;&gt;"",L297&lt;&gt;""),"Częściowy","Brak bezpośredniego kontaktu"))</x:f>
        <x:v>Pełny</x:v>
      </x:c>
      <x:c r="U297" s="62" t="str">
        <x:v>Do weryfikacji</x:v>
      </x:c>
      <x:c r="V297" s="62" t="str">
        <x:v>BILLS — hurt@bills.pl</x:v>
      </x:c>
      <x:c r="W297" s="62" t="str">
        <x:v>Archiwum lub weryfikacja przy okazji</x:v>
      </x:c>
      <x:c r="X297" s="81" t="str">
        <x:f>IF(C297&gt;=82,'Model scoringu'!$B$4,IF(C297&gt;=72,'Model scoringu'!$B$5,IF(C297&gt;=58,'Model scoringu'!$B$6,"")))</x:f>
      </x:c>
      <x:c r="Y297" s="62" t="str">
        <x:v>Sprzedaż komplementarnych akcesoriów dla palaczy.</x:v>
      </x:c>
      <x:c r="Z297" s="62" t="str">
        <x:v>https://www.biokonopia.pl</x:v>
      </x:c>
      <x:c r="AA297" s="62" t="str">
        <x:v>Automatycznie pobrane przez skrypt. | Status źródłowy: Aktywny</x:v>
      </x:c>
      <x:c r="AB297" s="50" t="n">
        <x:v>18</x:v>
      </x:c>
      <x:c r="AC297" s="50" t="n">
        <x:v>15</x:v>
      </x:c>
      <x:c r="AD297" s="50" t="n">
        <x:v>7</x:v>
      </x:c>
      <x:c r="AE297" s="50" t="n">
        <x:v>13</x:v>
      </x:c>
      <x:c r="AF297" s="50" t="n">
        <x:v>8</x:v>
      </x:c>
      <x:c r="AG297" s="50" t="n">
        <x:v>7</x:v>
      </x:c>
      <x:c r="AH297" s="57" t="n">
        <x:v>30</x:v>
      </x:c>
    </x:row>
    <x:row r="298" ht="34" customHeight="1">
      <x:c r="A298" s="87" t="n">
        <x:v>296</x:v>
      </x:c>
      <x:c r="B298" s="88" t="str">
        <x:f>IF(C298&gt;=82,"A"&amp;1&amp;" — kontakt natychmiast",IF(C298&gt;=72,"A"&amp;2&amp;" — kontakt w 7 dni",IF(C298&gt;=58,"B — kampania regionalna",IF(C298&gt;=42,"C — weryfikacja i nurturing","D — niski priorytet/wykluczyć"))))</x:f>
        <x:v>D — niski priorytet/wykluczyć</x:v>
      </x:c>
      <x:c r="C298" s="88" t="n">
        <x:f>MAX(0,MIN(100,SUM(AB298:AG298)-AH298))</x:f>
        <x:v>38</x:v>
      </x:c>
      <x:c r="D298" s="62" t="str">
        <x:v>Aromi</x:v>
      </x:c>
      <x:c r="E298" s="62" t="str">
        <x:v>Potencjalny reseller / odbiorca hurtowy</x:v>
      </x:c>
      <x:c r="F298" s="62" t="str">
        <x:v>S3 — Akcesoria dla palaczy/headshop</x:v>
      </x:c>
      <x:c r="G298" s="62" t="str">
        <x:v>Hurt B2B regionalny</x:v>
      </x:c>
      <x:c r="H298" s="62" t="str">
        <x:v>Nieustalony</x:v>
      </x:c>
      <x:c r="I298" s="62" t="str"/>
      <x:c r="J298" s="62" t="str">
        <x:v>Nieustalona</x:v>
      </x:c>
      <x:c r="K298" s="62" t="str">
        <x:v>biuro@aromi.com.pl</x:v>
      </x:c>
      <x:c r="L298" s="62" t="str">
        <x:v>154036006</x:v>
      </x:c>
      <x:c r="M298" s="62" t="str"/>
      <x:c r="N298" s="62" t="str"/>
      <x:c r="O298" s="62" t="str">
        <x:v>https://www.aromi.com.pl</x:v>
      </x:c>
      <x:c r="P298" s="62" t="str"/>
      <x:c r="Q298" s="62" t="str"/>
      <x:c r="R298" s="62" t="str"/>
      <x:c r="S298" s="62" t="str">
        <x:v>Web Scraped | Akcesoria tytoniowe</x:v>
      </x:c>
      <x:c r="T298" s="62" t="str">
        <x:f>IF(AND(K298&lt;&gt;"",L298&lt;&gt;"",O298&lt;&gt;""),"Pełny",IF(OR(K298&lt;&gt;"",L298&lt;&gt;""),"Częściowy","Brak bezpośredniego kontaktu"))</x:f>
        <x:v>Pełny</x:v>
      </x:c>
      <x:c r="U298" s="62" t="str">
        <x:v>Do weryfikacji</x:v>
      </x:c>
      <x:c r="V298" s="62" t="str">
        <x:v>BILLS — hurt@bills.pl</x:v>
      </x:c>
      <x:c r="W298" s="62" t="str">
        <x:v>Archiwum lub weryfikacja przy okazji</x:v>
      </x:c>
      <x:c r="X298" s="81" t="str">
        <x:f>IF(C298&gt;=82,'Model scoringu'!$B$4,IF(C298&gt;=72,'Model scoringu'!$B$5,IF(C298&gt;=58,'Model scoringu'!$B$6,"")))</x:f>
      </x:c>
      <x:c r="Y298" s="62" t="str">
        <x:v>Sprzedaż komplementarnych akcesoriów dla palaczy.</x:v>
      </x:c>
      <x:c r="Z298" s="62" t="str">
        <x:v>https://www.aromi.com.pl</x:v>
      </x:c>
      <x:c r="AA298" s="62" t="str">
        <x:v>Automatycznie pobrane przez skrypt. | Status źródłowy: Aktywny</x:v>
      </x:c>
      <x:c r="AB298" s="50" t="n">
        <x:v>18</x:v>
      </x:c>
      <x:c r="AC298" s="50" t="n">
        <x:v>15</x:v>
      </x:c>
      <x:c r="AD298" s="50" t="n">
        <x:v>7</x:v>
      </x:c>
      <x:c r="AE298" s="50" t="n">
        <x:v>13</x:v>
      </x:c>
      <x:c r="AF298" s="50" t="n">
        <x:v>8</x:v>
      </x:c>
      <x:c r="AG298" s="50" t="n">
        <x:v>7</x:v>
      </x:c>
      <x:c r="AH298" s="57" t="n">
        <x:v>30</x:v>
      </x:c>
    </x:row>
    <x:row r="299" ht="34" customHeight="1">
      <x:c r="A299" s="87" t="n">
        <x:v>297</x:v>
      </x:c>
      <x:c r="B299" s="88" t="str">
        <x:f>IF(C299&gt;=82,"A"&amp;1&amp;" — kontakt natychmiast",IF(C299&gt;=72,"A"&amp;2&amp;" — kontakt w 7 dni",IF(C299&gt;=58,"B — kampania regionalna",IF(C299&gt;=42,"C — weryfikacja i nurturing","D — niski priorytet/wykluczyć"))))</x:f>
        <x:v>D — niski priorytet/wykluczyć</x:v>
      </x:c>
      <x:c r="C299" s="88" t="n">
        <x:f>MAX(0,MIN(100,SUM(AB299:AG299)-AH299))</x:f>
        <x:v>37</x:v>
      </x:c>
      <x:c r="D299" s="62" t="str">
        <x:v>Joint Brothers</x:v>
      </x:c>
      <x:c r="E299" s="62" t="str">
        <x:v>Do weryfikacji</x:v>
      </x:c>
      <x:c r="F299" s="62" t="str">
        <x:v>S7 — Pozostałe/niezweryfikowane</x:v>
      </x:c>
      <x:c r="G299" s="62" t="str">
        <x:v>Detal/e-commerce</x:v>
      </x:c>
      <x:c r="H299" s="62" t="str">
        <x:v>Śląskie</x:v>
      </x:c>
      <x:c r="I299" s="62" t="str">
        <x:v>Katowice</x:v>
      </x:c>
      <x:c r="J299" s="62" t="str">
        <x:v>Nieustalona</x:v>
      </x:c>
      <x:c r="K299" s="62" t="str"/>
      <x:c r="L299" s="62" t="str">
        <x:v>721 430 027</x:v>
      </x:c>
      <x:c r="M299" s="62" t="str"/>
      <x:c r="N299" s="62" t="str"/>
      <x:c r="O299" s="62" t="str">
        <x:v>https://jointbrothers.eu</x:v>
      </x:c>
      <x:c r="P299" s="62" t="str">
        <x:v>ul. Klonowa 9/1, 40-074 Katowice</x:v>
      </x:c>
      <x:c r="Q299" s="62" t="str"/>
      <x:c r="R299" s="62" t="str"/>
      <x:c r="S299" s="62" t="str"/>
      <x:c r="T299" s="62" t="str">
        <x:f>IF(AND(K299&lt;&gt;"",L299&lt;&gt;"",O299&lt;&gt;""),"Pełny",IF(OR(K299&lt;&gt;"",L299&lt;&gt;""),"Częściowy","Brak bezpośredniego kontaktu"))</x:f>
        <x:v>Częściowy</x:v>
      </x:c>
      <x:c r="U299" s="62" t="str">
        <x:v>Do weryfikacji</x:v>
      </x:c>
      <x:c r="V299" s="62" t="str">
        <x:v>BILLS — hurt@bills.pl</x:v>
      </x:c>
      <x:c r="W299" s="62" t="str">
        <x:v>Archiwum lub weryfikacja przy okazji</x:v>
      </x:c>
      <x:c r="X299" s="81" t="str">
        <x:f>IF(C299&gt;=82,'Model scoringu'!$B$4,IF(C299&gt;=72,'Model scoringu'!$B$5,IF(C299&gt;=58,'Model scoringu'!$B$6,"")))</x:f>
      </x:c>
      <x:c r="Y299" s="62" t="str">
        <x:v>.</x:v>
      </x:c>
      <x:c r="Z299" s="62" t="str">
        <x:v>https://jointbrothers.eu</x:v>
      </x:c>
      <x:c r="AA299" s="62" t="str"/>
      <x:c r="AB299" s="50" t="n">
        <x:v>4</x:v>
      </x:c>
      <x:c r="AC299" s="50" t="n">
        <x:v>7</x:v>
      </x:c>
      <x:c r="AD299" s="50" t="n">
        <x:v>7</x:v>
      </x:c>
      <x:c r="AE299" s="50" t="n">
        <x:v>9</x:v>
      </x:c>
      <x:c r="AF299" s="50" t="n">
        <x:v>10</x:v>
      </x:c>
      <x:c r="AG299" s="50" t="n">
        <x:v>5</x:v>
      </x:c>
      <x:c r="AH299" s="57" t="n">
        <x:v>5</x:v>
      </x:c>
    </x:row>
    <x:row r="300" ht="34" customHeight="1">
      <x:c r="A300" s="87" t="n">
        <x:v>298</x:v>
      </x:c>
      <x:c r="B300" s="88" t="str">
        <x:f>IF(C300&gt;=82,"A"&amp;1&amp;" — kontakt natychmiast",IF(C300&gt;=72,"A"&amp;2&amp;" — kontakt w 7 dni",IF(C300&gt;=58,"B — kampania regionalna",IF(C300&gt;=42,"C — weryfikacja i nurturing","D — niski priorytet/wykluczyć"))))</x:f>
        <x:v>D — niski priorytet/wykluczyć</x:v>
      </x:c>
      <x:c r="C300" s="88" t="n">
        <x:f>MAX(0,MIN(100,SUM(AB300:AG300)-AH300))</x:f>
        <x:v>37</x:v>
      </x:c>
      <x:c r="D300" s="62" t="str">
        <x:v>Bitlogic</x:v>
      </x:c>
      <x:c r="E300" s="62" t="str">
        <x:v>Do weryfikacji</x:v>
      </x:c>
      <x:c r="F300" s="62" t="str">
        <x:v>S7 — Pozostałe/niezweryfikowane</x:v>
      </x:c>
      <x:c r="G300" s="62" t="str">
        <x:v>Detal/e-commerce</x:v>
      </x:c>
      <x:c r="H300" s="62" t="str">
        <x:v>Lubuskie</x:v>
      </x:c>
      <x:c r="I300" s="62" t="str">
        <x:v>Zielona Góra</x:v>
      </x:c>
      <x:c r="J300" s="62" t="str">
        <x:v>Nieustalona</x:v>
      </x:c>
      <x:c r="K300" s="62" t="str">
        <x:v>hurtownia@bitlogic.pl</x:v>
      </x:c>
      <x:c r="L300" s="62" t="str"/>
      <x:c r="M300" s="62" t="str"/>
      <x:c r="N300" s="62" t="str"/>
      <x:c r="O300" s="62" t="str">
        <x:v>https://www.bitlogic.pl</x:v>
      </x:c>
      <x:c r="P300" s="62" t="str"/>
      <x:c r="Q300" s="62" t="str"/>
      <x:c r="R300" s="62" t="str"/>
      <x:c r="S300" s="62" t="str"/>
      <x:c r="T300" s="62" t="str">
        <x:f>IF(AND(K300&lt;&gt;"",L300&lt;&gt;"",O300&lt;&gt;""),"Pełny",IF(OR(K300&lt;&gt;"",L300&lt;&gt;""),"Częściowy","Brak bezpośredniego kontaktu"))</x:f>
        <x:v>Częściowy</x:v>
      </x:c>
      <x:c r="U300" s="62" t="str">
        <x:v>Do weryfikacji</x:v>
      </x:c>
      <x:c r="V300" s="62" t="str">
        <x:v>BILLS — hurt@bills.pl</x:v>
      </x:c>
      <x:c r="W300" s="62" t="str">
        <x:v>Archiwum lub weryfikacja przy okazji</x:v>
      </x:c>
      <x:c r="X300" s="81" t="str">
        <x:f>IF(C300&gt;=82,'Model scoringu'!$B$4,IF(C300&gt;=72,'Model scoringu'!$B$5,IF(C300&gt;=58,'Model scoringu'!$B$6,"")))</x:f>
      </x:c>
      <x:c r="Y300" s="62" t="str">
        <x:v>.</x:v>
      </x:c>
      <x:c r="Z300" s="62" t="str">
        <x:v>https://www.bitlogic.pl</x:v>
      </x:c>
      <x:c r="AA300" s="62" t="str"/>
      <x:c r="AB300" s="50" t="n">
        <x:v>4</x:v>
      </x:c>
      <x:c r="AC300" s="50" t="n">
        <x:v>7</x:v>
      </x:c>
      <x:c r="AD300" s="50" t="n">
        <x:v>7</x:v>
      </x:c>
      <x:c r="AE300" s="50" t="n">
        <x:v>9</x:v>
      </x:c>
      <x:c r="AF300" s="50" t="n">
        <x:v>10</x:v>
      </x:c>
      <x:c r="AG300" s="50" t="n">
        <x:v>5</x:v>
      </x:c>
      <x:c r="AH300" s="57" t="n">
        <x:v>5</x:v>
      </x:c>
    </x:row>
    <x:row r="301" ht="34" customHeight="1">
      <x:c r="A301" s="87" t="n">
        <x:v>299</x:v>
      </x:c>
      <x:c r="B301" s="88" t="str">
        <x:f>IF(C301&gt;=82,"A"&amp;1&amp;" — kontakt natychmiast",IF(C301&gt;=72,"A"&amp;2&amp;" — kontakt w 7 dni",IF(C301&gt;=58,"B — kampania regionalna",IF(C301&gt;=42,"C — weryfikacja i nurturing","D — niski priorytet/wykluczyć"))))</x:f>
        <x:v>D — niski priorytet/wykluczyć</x:v>
      </x:c>
      <x:c r="C301" s="88" t="n">
        <x:f>MAX(0,MIN(100,SUM(AB301:AG301)-AH301))</x:f>
        <x:v>37</x:v>
      </x:c>
      <x:c r="D301" s="62" t="str">
        <x:v>Tabakeria / Avalons</x:v>
      </x:c>
      <x:c r="E301" s="62" t="str">
        <x:v>Potencjalny reseller / odbiorca hurtowy</x:v>
      </x:c>
      <x:c r="F301" s="62" t="str">
        <x:v>S1 — RYO/MYO, gilzy i nabijarki</x:v>
      </x:c>
      <x:c r="G301" s="62" t="str">
        <x:v>Detal/e-commerce</x:v>
      </x:c>
      <x:c r="H301" s="62" t="str">
        <x:v>Nieustalony</x:v>
      </x:c>
      <x:c r="I301" s="62" t="str">
        <x:v>Riga (Multiple Shopping Centres)</x:v>
      </x:c>
      <x:c r="J301" s="62" t="str">
        <x:v>Nieustalona</x:v>
      </x:c>
      <x:c r="K301" s="62" t="str"/>
      <x:c r="L301" s="62" t="str"/>
      <x:c r="M301" s="62" t="str"/>
      <x:c r="N301" s="62" t="str"/>
      <x:c r="O301" s="62" t="str">
        <x:v>https://tabakeria.lv</x:v>
      </x:c>
      <x:c r="P301" s="62" t="str"/>
      <x:c r="Q301" s="62" t="str"/>
      <x:c r="R301" s="62" t="str"/>
      <x:c r="S301" s="62" t="str">
        <x:v>Akcesoria Tytoniowe | Tytoń</x:v>
      </x:c>
      <x:c r="T301" s="62" t="str">
        <x:f>IF(AND(K301&lt;&gt;"",L301&lt;&gt;"",O301&lt;&gt;""),"Pełny",IF(OR(K301&lt;&gt;"",L301&lt;&gt;""),"Częściowy","Brak bezpośredniego kontaktu"))</x:f>
        <x:v>Brak bezpośredniego kontaktu</x:v>
      </x:c>
      <x:c r="U301" s="62" t="str">
        <x:v>Do weryfikacji</x:v>
      </x:c>
      <x:c r="V301" s="62" t="str">
        <x:v>BILLS — hurt@bills.pl</x:v>
      </x:c>
      <x:c r="W301" s="62" t="str">
        <x:v>Archiwum lub weryfikacja przy okazji</x:v>
      </x:c>
      <x:c r="X301" s="81" t="str">
        <x:f>IF(C301&gt;=82,'Model scoringu'!$B$4,IF(C301&gt;=72,'Model scoringu'!$B$5,IF(C301&gt;=58,'Model scoringu'!$B$6,"")))</x:f>
      </x:c>
      <x:c r="Y301" s="62" t="str">
        <x:v>Bezpośrednie dopasowanie do ryo/myo, gilz lub nabijarek.</x:v>
      </x:c>
      <x:c r="Z301" s="62" t="str">
        <x:v>https://tabakeria.lv</x:v>
      </x:c>
      <x:c r="AA301" s="62" t="str">
        <x:v>Status źródłowy: Dostępny w katalogu</x:v>
      </x:c>
      <x:c r="AB301" s="50" t="n">
        <x:v>30</x:v>
      </x:c>
      <x:c r="AC301" s="50" t="n">
        <x:v>7</x:v>
      </x:c>
      <x:c r="AD301" s="50" t="n">
        <x:v>7</x:v>
      </x:c>
      <x:c r="AE301" s="50" t="n">
        <x:v>3</x:v>
      </x:c>
      <x:c r="AF301" s="50" t="n">
        <x:v>10</x:v>
      </x:c>
      <x:c r="AG301" s="50" t="n">
        <x:v>10</x:v>
      </x:c>
      <x:c r="AH301" s="57" t="n">
        <x:v>30</x:v>
      </x:c>
    </x:row>
    <x:row r="302" ht="34" customHeight="1">
      <x:c r="A302" s="87" t="n">
        <x:v>300</x:v>
      </x:c>
      <x:c r="B302" s="88" t="str">
        <x:f>IF(C302&gt;=82,"A"&amp;1&amp;" — kontakt natychmiast",IF(C302&gt;=72,"A"&amp;2&amp;" — kontakt w 7 dni",IF(C302&gt;=58,"B — kampania regionalna",IF(C302&gt;=42,"C — weryfikacja i nurturing","D — niski priorytet/wykluczyć"))))</x:f>
        <x:v>D — niski priorytet/wykluczyć</x:v>
      </x:c>
      <x:c r="C302" s="88" t="n">
        <x:f>MAX(0,MIN(100,SUM(AB302:AG302)-AH302))</x:f>
        <x:v>37</x:v>
      </x:c>
      <x:c r="D302" s="62" t="str">
        <x:v>Klaipedoslam.lt</x:v>
      </x:c>
      <x:c r="E302" s="62" t="str">
        <x:v>Potencjalny reseller / odbiorca hurtowy</x:v>
      </x:c>
      <x:c r="F302" s="62" t="str">
        <x:v>S1 — RYO/MYO, gilzy i nabijarki</x:v>
      </x:c>
      <x:c r="G302" s="62" t="str">
        <x:v>Detal/e-commerce</x:v>
      </x:c>
      <x:c r="H302" s="62" t="str">
        <x:v>Nieustalony</x:v>
      </x:c>
      <x:c r="I302" s="62" t="str"/>
      <x:c r="J302" s="62" t="str">
        <x:v>Nieustalona</x:v>
      </x:c>
      <x:c r="K302" s="62" t="str"/>
      <x:c r="L302" s="62" t="str"/>
      <x:c r="M302" s="62" t="str"/>
      <x:c r="N302" s="62" t="str"/>
      <x:c r="O302" s="62" t="str">
        <x:v>https://www.klaipedoslam.lt</x:v>
      </x:c>
      <x:c r="P302" s="62" t="str"/>
      <x:c r="Q302" s="62" t="str"/>
      <x:c r="R302" s="62" t="str"/>
      <x:c r="S302" s="62" t="str">
        <x:v>Nabijarki &amp; Zwijarki | Tytoń</x:v>
      </x:c>
      <x:c r="T302" s="62" t="str">
        <x:f>IF(AND(K302&lt;&gt;"",L302&lt;&gt;"",O302&lt;&gt;""),"Pełny",IF(OR(K302&lt;&gt;"",L302&lt;&gt;""),"Częściowy","Brak bezpośredniego kontaktu"))</x:f>
        <x:v>Brak bezpośredniego kontaktu</x:v>
      </x:c>
      <x:c r="U302" s="62" t="str">
        <x:v>Do weryfikacji</x:v>
      </x:c>
      <x:c r="V302" s="62" t="str">
        <x:v>BILLS — hurt@bills.pl</x:v>
      </x:c>
      <x:c r="W302" s="62" t="str">
        <x:v>Archiwum lub weryfikacja przy okazji</x:v>
      </x:c>
      <x:c r="X302" s="81" t="str">
        <x:f>IF(C302&gt;=82,'Model scoringu'!$B$4,IF(C302&gt;=72,'Model scoringu'!$B$5,IF(C302&gt;=58,'Model scoringu'!$B$6,"")))</x:f>
      </x:c>
      <x:c r="Y302" s="62" t="str">
        <x:v>Bezpośrednie dopasowanie do ryo/myo, gilz lub nabijarek.</x:v>
      </x:c>
      <x:c r="Z302" s="62" t="str">
        <x:v>https://www.klaipedoslam.lt</x:v>
      </x:c>
      <x:c r="AA302" s="62" t="str">
        <x:v>Status źródłowy: Dostępny w katalogu</x:v>
      </x:c>
      <x:c r="AB302" s="50" t="n">
        <x:v>30</x:v>
      </x:c>
      <x:c r="AC302" s="50" t="n">
        <x:v>7</x:v>
      </x:c>
      <x:c r="AD302" s="50" t="n">
        <x:v>7</x:v>
      </x:c>
      <x:c r="AE302" s="50" t="n">
        <x:v>3</x:v>
      </x:c>
      <x:c r="AF302" s="50" t="n">
        <x:v>10</x:v>
      </x:c>
      <x:c r="AG302" s="50" t="n">
        <x:v>10</x:v>
      </x:c>
      <x:c r="AH302" s="57" t="n">
        <x:v>30</x:v>
      </x:c>
    </x:row>
    <x:row r="303" ht="34" customHeight="1">
      <x:c r="A303" s="87" t="n">
        <x:v>301</x:v>
      </x:c>
      <x:c r="B303" s="88" t="str">
        <x:f>IF(C303&gt;=82,"A"&amp;1&amp;" — kontakt natychmiast",IF(C303&gt;=72,"A"&amp;2&amp;" — kontakt w 7 dni",IF(C303&gt;=58,"B — kampania regionalna",IF(C303&gt;=42,"C — weryfikacja i nurturing","D — niski priorytet/wykluczyć"))))</x:f>
        <x:v>D — niski priorytet/wykluczyć</x:v>
      </x:c>
      <x:c r="C303" s="88" t="n">
        <x:f>MAX(0,MIN(100,SUM(AB303:AG303)-AH303))</x:f>
        <x:v>36</x:v>
      </x:c>
      <x:c r="D303" s="62" t="str">
        <x:v>Procent 2.0</x:v>
      </x:c>
      <x:c r="E303" s="62" t="str">
        <x:v>Sprzedawca detaliczny/e-commerce</x:v>
      </x:c>
      <x:c r="F303" s="62" t="str">
        <x:v>S6 — Retail/e-commerce</x:v>
      </x:c>
      <x:c r="G303" s="62" t="str">
        <x:v>Detal/e-commerce</x:v>
      </x:c>
      <x:c r="H303" s="62" t="str">
        <x:v>Podlaskie</x:v>
      </x:c>
      <x:c r="I303" s="62" t="str">
        <x:v>Białystok</x:v>
      </x:c>
      <x:c r="J303" s="62" t="str">
        <x:v>Nieustalona</x:v>
      </x:c>
      <x:c r="K303" s="62" t="str"/>
      <x:c r="L303" s="62" t="str">
        <x:v>515 323 153</x:v>
      </x:c>
      <x:c r="M303" s="62" t="str"/>
      <x:c r="N303" s="62" t="str"/>
      <x:c r="O303" s="62" t="str"/>
      <x:c r="P303" s="62" t="str">
        <x:v>Białystok, Sokólska 3a lok. 1</x:v>
      </x:c>
      <x:c r="Q303" s="62" t="str"/>
      <x:c r="R303" s="62" t="str"/>
      <x:c r="S303" s="62" t="str">
        <x:v>Tytoń</x:v>
      </x:c>
      <x:c r="T303" s="62" t="str">
        <x:f>IF(AND(K303&lt;&gt;"",L303&lt;&gt;"",O303&lt;&gt;""),"Pełny",IF(OR(K303&lt;&gt;"",L303&lt;&gt;""),"Częściowy","Brak bezpośredniego kontaktu"))</x:f>
        <x:v>Częściowy</x:v>
      </x:c>
      <x:c r="U303" s="62" t="str">
        <x:v>Do weryfikacji</x:v>
      </x:c>
      <x:c r="V303" s="62" t="str">
        <x:v>BILLS — hurt@bills.pl</x:v>
      </x:c>
      <x:c r="W303" s="62" t="str">
        <x:v>Archiwum lub weryfikacja przy okazji</x:v>
      </x:c>
      <x:c r="X303" s="81" t="str">
        <x:f>IF(C303&gt;=82,'Model scoringu'!$B$4,IF(C303&gt;=72,'Model scoringu'!$B$5,IF(C303&gt;=58,'Model scoringu'!$B$6,"")))</x:f>
      </x:c>
      <x:c r="Y303" s="62" t="str">
        <x:v>Możliwość szybkiego testu sprzedaży internetowej.</x:v>
      </x:c>
      <x:c r="Z303" s="62" t="str"/>
      <x:c r="AA303" s="62" t="str"/>
      <x:c r="AB303" s="50" t="n">
        <x:v>8</x:v>
      </x:c>
      <x:c r="AC303" s="50" t="n">
        <x:v>7</x:v>
      </x:c>
      <x:c r="AD303" s="50" t="n">
        <x:v>7</x:v>
      </x:c>
      <x:c r="AE303" s="50" t="n">
        <x:v>6</x:v>
      </x:c>
      <x:c r="AF303" s="50" t="n">
        <x:v>3</x:v>
      </x:c>
      <x:c r="AG303" s="50" t="n">
        <x:v>5</x:v>
      </x:c>
      <x:c r="AH303" s="57" t="n">
        <x:v>0</x:v>
      </x:c>
    </x:row>
    <x:row r="304" ht="34" customHeight="1">
      <x:c r="A304" s="87" t="n">
        <x:v>302</x:v>
      </x:c>
      <x:c r="B304" s="88" t="str">
        <x:f>IF(C304&gt;=82,"A"&amp;1&amp;" — kontakt natychmiast",IF(C304&gt;=72,"A"&amp;2&amp;" — kontakt w 7 dni",IF(C304&gt;=58,"B — kampania regionalna",IF(C304&gt;=42,"C — weryfikacja i nurturing","D — niski priorytet/wykluczyć"))))</x:f>
        <x:v>D — niski priorytet/wykluczyć</x:v>
      </x:c>
      <x:c r="C304" s="88" t="n">
        <x:f>MAX(0,MIN(100,SUM(AB304:AG304)-AH304))</x:f>
        <x:v>35</x:v>
      </x:c>
      <x:c r="D304" s="62" t="str">
        <x:v>Smooke.pl</x:v>
      </x:c>
      <x:c r="E304" s="62" t="str">
        <x:v>Partner cross-sell / kanał sąsiedni</x:v>
      </x:c>
      <x:c r="F304" s="62" t="str">
        <x:v>S4 — Vape/e-papierosy</x:v>
      </x:c>
      <x:c r="G304" s="62" t="str">
        <x:v>Detal/e-commerce</x:v>
      </x:c>
      <x:c r="H304" s="62" t="str">
        <x:v>Mazowieckie</x:v>
      </x:c>
      <x:c r="I304" s="62" t="str">
        <x:v>Warszawa</x:v>
      </x:c>
      <x:c r="J304" s="62" t="str">
        <x:v>Nieustalona</x:v>
      </x:c>
      <x:c r="K304" s="62" t="str"/>
      <x:c r="L304" s="62" t="str"/>
      <x:c r="M304" s="62" t="str"/>
      <x:c r="N304" s="62" t="str"/>
      <x:c r="O304" s="62" t="str"/>
      <x:c r="P304" s="62" t="str">
        <x:v>al. Jana Pawła II 61/226, Warszawa</x:v>
      </x:c>
      <x:c r="Q304" s="62" t="str"/>
      <x:c r="R304" s="62" t="str"/>
      <x:c r="S304" s="62" t="str">
        <x:v>Akcesoria | Tytoń | Vape</x:v>
      </x:c>
      <x:c r="T304" s="62" t="str">
        <x:f>IF(AND(K304&lt;&gt;"",L304&lt;&gt;"",O304&lt;&gt;""),"Pełny",IF(OR(K304&lt;&gt;"",L304&lt;&gt;""),"Częściowy","Brak bezpośredniego kontaktu"))</x:f>
        <x:v>Brak bezpośredniego kontaktu</x:v>
      </x:c>
      <x:c r="U304" s="62" t="str">
        <x:v>Do weryfikacji</x:v>
      </x:c>
      <x:c r="V304" s="62" t="str">
        <x:v>BILLS — hurt@bills.pl</x:v>
      </x:c>
      <x:c r="W304" s="62" t="str">
        <x:v>Archiwum lub weryfikacja przy okazji</x:v>
      </x:c>
      <x:c r="X304" s="81" t="str">
        <x:f>IF(C304&gt;=82,'Model scoringu'!$B$4,IF(C304&gt;=72,'Model scoringu'!$B$5,IF(C304&gt;=58,'Model scoringu'!$B$6,"")))</x:f>
      </x:c>
      <x:c r="Y304" s="62" t="str">
        <x:v>Kanał sąsiedni z bazą klientów zainteresowanych produktami nikotynowymi.</x:v>
      </x:c>
      <x:c r="Z304" s="62" t="str"/>
      <x:c r="AA304" s="62" t="str">
        <x:v>Dodano z final_turn_001.md; Potencjał: Niski | Status źródłowy: Niezweryfikowany</x:v>
      </x:c>
      <x:c r="AB304" s="50" t="n">
        <x:v>11</x:v>
      </x:c>
      <x:c r="AC304" s="50" t="n">
        <x:v>7</x:v>
      </x:c>
      <x:c r="AD304" s="50" t="n">
        <x:v>7</x:v>
      </x:c>
      <x:c r="AE304" s="50" t="n">
        <x:v>2</x:v>
      </x:c>
      <x:c r="AF304" s="50" t="n">
        <x:v>3</x:v>
      </x:c>
      <x:c r="AG304" s="50" t="n">
        <x:v>10</x:v>
      </x:c>
      <x:c r="AH304" s="57" t="n">
        <x:v>5</x:v>
      </x:c>
    </x:row>
    <x:row r="305" ht="34" customHeight="1">
      <x:c r="A305" s="87" t="n">
        <x:v>303</x:v>
      </x:c>
      <x:c r="B305" s="88" t="str">
        <x:f>IF(C305&gt;=82,"A"&amp;1&amp;" — kontakt natychmiast",IF(C305&gt;=72,"A"&amp;2&amp;" — kontakt w 7 dni",IF(C305&gt;=58,"B — kampania regionalna",IF(C305&gt;=42,"C — weryfikacja i nurturing","D — niski priorytet/wykluczyć"))))</x:f>
        <x:v>D — niski priorytet/wykluczyć</x:v>
      </x:c>
      <x:c r="C305" s="88" t="n">
        <x:f>MAX(0,MIN(100,SUM(AB305:AG305)-AH305))</x:f>
        <x:v>35</x:v>
      </x:c>
      <x:c r="D305" s="62" t="str">
        <x:v>Lovikape</x:v>
      </x:c>
      <x:c r="E305" s="62" t="str">
        <x:v>Partner cross-sell / kanał sąsiedni</x:v>
      </x:c>
      <x:c r="F305" s="62" t="str">
        <x:v>S4 — Vape/e-papierosy</x:v>
      </x:c>
      <x:c r="G305" s="62" t="str">
        <x:v>Detal/e-commerce</x:v>
      </x:c>
      <x:c r="H305" s="62" t="str">
        <x:v>Warmińsko-mazurskie</x:v>
      </x:c>
      <x:c r="I305" s="62" t="str">
        <x:v>Ełk</x:v>
      </x:c>
      <x:c r="J305" s="62" t="str">
        <x:v>Nieustalona</x:v>
      </x:c>
      <x:c r="K305" s="62" t="str"/>
      <x:c r="L305" s="62" t="str"/>
      <x:c r="M305" s="62" t="str"/>
      <x:c r="N305" s="62" t="str"/>
      <x:c r="O305" s="62" t="str"/>
      <x:c r="P305" s="62" t="str">
        <x:v>ul. Armii Krajowej 9 U11, 19-300 Ełk</x:v>
      </x:c>
      <x:c r="Q305" s="62" t="str"/>
      <x:c r="R305" s="62" t="str"/>
      <x:c r="S305" s="62" t="str">
        <x:v>Akcesoria | Tytoń | Vape</x:v>
      </x:c>
      <x:c r="T305" s="62" t="str">
        <x:f>IF(AND(K305&lt;&gt;"",L305&lt;&gt;"",O305&lt;&gt;""),"Pełny",IF(OR(K305&lt;&gt;"",L305&lt;&gt;""),"Częściowy","Brak bezpośredniego kontaktu"))</x:f>
        <x:v>Brak bezpośredniego kontaktu</x:v>
      </x:c>
      <x:c r="U305" s="62" t="str">
        <x:v>Do weryfikacji</x:v>
      </x:c>
      <x:c r="V305" s="62" t="str">
        <x:v>BILLS — hurt@bills.pl</x:v>
      </x:c>
      <x:c r="W305" s="62" t="str">
        <x:v>Archiwum lub weryfikacja przy okazji</x:v>
      </x:c>
      <x:c r="X305" s="81" t="str">
        <x:f>IF(C305&gt;=82,'Model scoringu'!$B$4,IF(C305&gt;=72,'Model scoringu'!$B$5,IF(C305&gt;=58,'Model scoringu'!$B$6,"")))</x:f>
      </x:c>
      <x:c r="Y305" s="62" t="str">
        <x:v>Kanał sąsiedni z bazą klientów zainteresowanych produktami nikotynowymi.</x:v>
      </x:c>
      <x:c r="Z305" s="62" t="str"/>
      <x:c r="AA305" s="62" t="str">
        <x:v>Dodano z final_turn_001.md; Potencjał: Niski | Status źródłowy: Niezweryfikowany</x:v>
      </x:c>
      <x:c r="AB305" s="50" t="n">
        <x:v>11</x:v>
      </x:c>
      <x:c r="AC305" s="50" t="n">
        <x:v>7</x:v>
      </x:c>
      <x:c r="AD305" s="50" t="n">
        <x:v>7</x:v>
      </x:c>
      <x:c r="AE305" s="50" t="n">
        <x:v>2</x:v>
      </x:c>
      <x:c r="AF305" s="50" t="n">
        <x:v>3</x:v>
      </x:c>
      <x:c r="AG305" s="50" t="n">
        <x:v>10</x:v>
      </x:c>
      <x:c r="AH305" s="57" t="n">
        <x:v>5</x:v>
      </x:c>
    </x:row>
    <x:row r="306" ht="34" customHeight="1">
      <x:c r="A306" s="87" t="n">
        <x:v>304</x:v>
      </x:c>
      <x:c r="B306" s="88" t="str">
        <x:f>IF(C306&gt;=82,"A"&amp;1&amp;" — kontakt natychmiast",IF(C306&gt;=72,"A"&amp;2&amp;" — kontakt w 7 dni",IF(C306&gt;=58,"B — kampania regionalna",IF(C306&gt;=42,"C — weryfikacja i nurturing","D — niski priorytet/wykluczyć"))))</x:f>
        <x:v>D — niski priorytet/wykluczyć</x:v>
      </x:c>
      <x:c r="C306" s="88" t="n">
        <x:f>MAX(0,MIN(100,SUM(AB306:AG306)-AH306))</x:f>
        <x:v>33</x:v>
      </x:c>
      <x:c r="D306" s="62" t="str">
        <x:v>Tabak Service International</x:v>
      </x:c>
      <x:c r="E306" s="62" t="str">
        <x:v>Do weryfikacji</x:v>
      </x:c>
      <x:c r="F306" s="62" t="str">
        <x:v>S7 — Pozostałe/niezweryfikowane</x:v>
      </x:c>
      <x:c r="G306" s="62" t="str">
        <x:v>Detal/e-commerce</x:v>
      </x:c>
      <x:c r="H306" s="62" t="str">
        <x:v>Pomorskie</x:v>
      </x:c>
      <x:c r="I306" s="62" t="str">
        <x:v>Koszalin</x:v>
      </x:c>
      <x:c r="J306" s="62" t="str">
        <x:v>Nieustalona</x:v>
      </x:c>
      <x:c r="K306" s="62" t="str"/>
      <x:c r="L306" s="62" t="str"/>
      <x:c r="M306" s="62" t="str"/>
      <x:c r="N306" s="62" t="str"/>
      <x:c r="O306" s="62" t="str">
        <x:v>https://www.tabakinternational.pl</x:v>
      </x:c>
      <x:c r="P306" s="62" t="str">
        <x:v>ul. Zwycięstwa 327, 75-672 Koszalin</x:v>
      </x:c>
      <x:c r="Q306" s="62" t="str"/>
      <x:c r="R306" s="62" t="str"/>
      <x:c r="S306" s="62" t="str"/>
      <x:c r="T306" s="62" t="str">
        <x:f>IF(AND(K306&lt;&gt;"",L306&lt;&gt;"",O306&lt;&gt;""),"Pełny",IF(OR(K306&lt;&gt;"",L306&lt;&gt;""),"Częściowy","Brak bezpośredniego kontaktu"))</x:f>
        <x:v>Brak bezpośredniego kontaktu</x:v>
      </x:c>
      <x:c r="U306" s="62" t="str">
        <x:v>Do weryfikacji</x:v>
      </x:c>
      <x:c r="V306" s="62" t="str">
        <x:v>BILLS — hurt@bills.pl</x:v>
      </x:c>
      <x:c r="W306" s="62" t="str">
        <x:v>Archiwum lub weryfikacja przy okazji</x:v>
      </x:c>
      <x:c r="X306" s="81" t="str">
        <x:f>IF(C306&gt;=82,'Model scoringu'!$B$4,IF(C306&gt;=72,'Model scoringu'!$B$5,IF(C306&gt;=58,'Model scoringu'!$B$6,"")))</x:f>
      </x:c>
      <x:c r="Y306" s="62" t="str">
        <x:v>.</x:v>
      </x:c>
      <x:c r="Z306" s="62" t="str">
        <x:v>https://www.tabakinternational.pl</x:v>
      </x:c>
      <x:c r="AA306" s="62" t="str"/>
      <x:c r="AB306" s="50" t="n">
        <x:v>4</x:v>
      </x:c>
      <x:c r="AC306" s="50" t="n">
        <x:v>7</x:v>
      </x:c>
      <x:c r="AD306" s="50" t="n">
        <x:v>7</x:v>
      </x:c>
      <x:c r="AE306" s="50" t="n">
        <x:v>5</x:v>
      </x:c>
      <x:c r="AF306" s="50" t="n">
        <x:v>10</x:v>
      </x:c>
      <x:c r="AG306" s="50" t="n">
        <x:v>5</x:v>
      </x:c>
      <x:c r="AH306" s="57" t="n">
        <x:v>5</x:v>
      </x:c>
    </x:row>
    <x:row r="307" ht="34" customHeight="1">
      <x:c r="A307" s="87" t="n">
        <x:v>305</x:v>
      </x:c>
      <x:c r="B307" s="88" t="str">
        <x:f>IF(C307&gt;=82,"A"&amp;1&amp;" — kontakt natychmiast",IF(C307&gt;=72,"A"&amp;2&amp;" — kontakt w 7 dni",IF(C307&gt;=58,"B — kampania regionalna",IF(C307&gt;=42,"C — weryfikacja i nurturing","D — niski priorytet/wykluczyć"))))</x:f>
        <x:v>D — niski priorytet/wykluczyć</x:v>
      </x:c>
      <x:c r="C307" s="88" t="n">
        <x:f>MAX(0,MIN(100,SUM(AB307:AG307)-AH307))</x:f>
        <x:v>32</x:v>
      </x:c>
      <x:c r="D307" s="62" t="str">
        <x:v>Vshub24</x:v>
      </x:c>
      <x:c r="E307" s="62" t="str">
        <x:v>Potencjalny reseller / odbiorca hurtowy</x:v>
      </x:c>
      <x:c r="F307" s="62" t="str">
        <x:v>S3 — Akcesoria dla palaczy/headshop</x:v>
      </x:c>
      <x:c r="G307" s="62" t="str">
        <x:v>Hurt B2B regionalny</x:v>
      </x:c>
      <x:c r="H307" s="62" t="str">
        <x:v>Nieustalony</x:v>
      </x:c>
      <x:c r="I307" s="62" t="str"/>
      <x:c r="J307" s="62" t="str">
        <x:v>Nieustalona</x:v>
      </x:c>
      <x:c r="K307" s="62" t="str"/>
      <x:c r="L307" s="62" t="str">
        <x:v>255 255 255</x:v>
      </x:c>
      <x:c r="M307" s="62" t="str"/>
      <x:c r="N307" s="62" t="str"/>
      <x:c r="O307" s="62" t="str">
        <x:v>https://www.vshub24.com</x:v>
      </x:c>
      <x:c r="P307" s="62" t="str"/>
      <x:c r="Q307" s="62" t="str"/>
      <x:c r="R307" s="62" t="str"/>
      <x:c r="S307" s="62" t="str">
        <x:v>Akcesoria Tytoniowe</x:v>
      </x:c>
      <x:c r="T307" s="62" t="str">
        <x:f>IF(AND(K307&lt;&gt;"",L307&lt;&gt;"",O307&lt;&gt;""),"Pełny",IF(OR(K307&lt;&gt;"",L307&lt;&gt;""),"Częściowy","Brak bezpośredniego kontaktu"))</x:f>
        <x:v>Częściowy</x:v>
      </x:c>
      <x:c r="U307" s="62" t="str">
        <x:v>Do weryfikacji</x:v>
      </x:c>
      <x:c r="V307" s="62" t="str">
        <x:v>BILLS — hurt@bills.pl</x:v>
      </x:c>
      <x:c r="W307" s="62" t="str">
        <x:v>Archiwum lub weryfikacja przy okazji</x:v>
      </x:c>
      <x:c r="X307" s="81" t="str">
        <x:f>IF(C307&gt;=82,'Model scoringu'!$B$4,IF(C307&gt;=72,'Model scoringu'!$B$5,IF(C307&gt;=58,'Model scoringu'!$B$6,"")))</x:f>
      </x:c>
      <x:c r="Y307" s="62" t="str">
        <x:v>Sprzedaż komplementarnych akcesoriów dla palaczy.</x:v>
      </x:c>
      <x:c r="Z307" s="62" t="str">
        <x:v>https://www.vshub24.com</x:v>
      </x:c>
      <x:c r="AA307" s="62" t="str">
        <x:v>Automatycznie pobrane przez skrypt. | Status źródłowy: Aktywny</x:v>
      </x:c>
      <x:c r="AB307" s="50" t="n">
        <x:v>18</x:v>
      </x:c>
      <x:c r="AC307" s="50" t="n">
        <x:v>15</x:v>
      </x:c>
      <x:c r="AD307" s="50" t="n">
        <x:v>7</x:v>
      </x:c>
      <x:c r="AE307" s="50" t="n">
        <x:v>7</x:v>
      </x:c>
      <x:c r="AF307" s="50" t="n">
        <x:v>8</x:v>
      </x:c>
      <x:c r="AG307" s="50" t="n">
        <x:v>7</x:v>
      </x:c>
      <x:c r="AH307" s="57" t="n">
        <x:v>30</x:v>
      </x:c>
    </x:row>
    <x:row r="308" ht="34" customHeight="1">
      <x:c r="A308" s="87" t="n">
        <x:v>306</x:v>
      </x:c>
      <x:c r="B308" s="88" t="str">
        <x:f>IF(C308&gt;=82,"A"&amp;1&amp;" — kontakt natychmiast",IF(C308&gt;=72,"A"&amp;2&amp;" — kontakt w 7 dni",IF(C308&gt;=58,"B — kampania regionalna",IF(C308&gt;=42,"C — weryfikacja i nurturing","D — niski priorytet/wykluczyć"))))</x:f>
        <x:v>D — niski priorytet/wykluczyć</x:v>
      </x:c>
      <x:c r="C308" s="88" t="n">
        <x:f>MAX(0,MIN(100,SUM(AB308:AG308)-AH308))</x:f>
        <x:v>32</x:v>
      </x:c>
      <x:c r="D308" s="62" t="str">
        <x:v>Naturecan</x:v>
      </x:c>
      <x:c r="E308" s="62" t="str">
        <x:v>Potencjalny reseller / odbiorca hurtowy</x:v>
      </x:c>
      <x:c r="F308" s="62" t="str">
        <x:v>S3 — Akcesoria dla palaczy/headshop</x:v>
      </x:c>
      <x:c r="G308" s="62" t="str">
        <x:v>Hurt B2B regionalny</x:v>
      </x:c>
      <x:c r="H308" s="62" t="str">
        <x:v>Nieustalony</x:v>
      </x:c>
      <x:c r="I308" s="62" t="str"/>
      <x:c r="J308" s="62" t="str">
        <x:v>Nieustalona</x:v>
      </x:c>
      <x:c r="K308" s="62" t="str"/>
      <x:c r="L308" s="62" t="str">
        <x:v>176484843</x:v>
      </x:c>
      <x:c r="M308" s="62" t="str"/>
      <x:c r="N308" s="62" t="str"/>
      <x:c r="O308" s="62" t="str">
        <x:v>https://www.naturecan.pl</x:v>
      </x:c>
      <x:c r="P308" s="62" t="str"/>
      <x:c r="Q308" s="62" t="str"/>
      <x:c r="R308" s="62" t="str"/>
      <x:c r="S308" s="62" t="str">
        <x:v>Akcesoria Tytoniowe</x:v>
      </x:c>
      <x:c r="T308" s="62" t="str">
        <x:f>IF(AND(K308&lt;&gt;"",L308&lt;&gt;"",O308&lt;&gt;""),"Pełny",IF(OR(K308&lt;&gt;"",L308&lt;&gt;""),"Częściowy","Brak bezpośredniego kontaktu"))</x:f>
        <x:v>Częściowy</x:v>
      </x:c>
      <x:c r="U308" s="62" t="str">
        <x:v>Do weryfikacji</x:v>
      </x:c>
      <x:c r="V308" s="62" t="str">
        <x:v>BILLS — hurt@bills.pl</x:v>
      </x:c>
      <x:c r="W308" s="62" t="str">
        <x:v>Archiwum lub weryfikacja przy okazji</x:v>
      </x:c>
      <x:c r="X308" s="81" t="str">
        <x:f>IF(C308&gt;=82,'Model scoringu'!$B$4,IF(C308&gt;=72,'Model scoringu'!$B$5,IF(C308&gt;=58,'Model scoringu'!$B$6,"")))</x:f>
      </x:c>
      <x:c r="Y308" s="62" t="str">
        <x:v>Sprzedaż komplementarnych akcesoriów dla palaczy.</x:v>
      </x:c>
      <x:c r="Z308" s="62" t="str">
        <x:v>https://www.naturecan.pl</x:v>
      </x:c>
      <x:c r="AA308" s="62" t="str">
        <x:v>Automatycznie pobrane przez skrypt. | Status źródłowy: Aktywny</x:v>
      </x:c>
      <x:c r="AB308" s="50" t="n">
        <x:v>18</x:v>
      </x:c>
      <x:c r="AC308" s="50" t="n">
        <x:v>15</x:v>
      </x:c>
      <x:c r="AD308" s="50" t="n">
        <x:v>7</x:v>
      </x:c>
      <x:c r="AE308" s="50" t="n">
        <x:v>7</x:v>
      </x:c>
      <x:c r="AF308" s="50" t="n">
        <x:v>8</x:v>
      </x:c>
      <x:c r="AG308" s="50" t="n">
        <x:v>7</x:v>
      </x:c>
      <x:c r="AH308" s="57" t="n">
        <x:v>30</x:v>
      </x:c>
    </x:row>
    <x:row r="309" ht="34" customHeight="1">
      <x:c r="A309" s="87" t="n">
        <x:v>307</x:v>
      </x:c>
      <x:c r="B309" s="88" t="str">
        <x:f>IF(C309&gt;=82,"A"&amp;1&amp;" — kontakt natychmiast",IF(C309&gt;=72,"A"&amp;2&amp;" — kontakt w 7 dni",IF(C309&gt;=58,"B — kampania regionalna",IF(C309&gt;=42,"C — weryfikacja i nurturing","D — niski priorytet/wykluczyć"))))</x:f>
        <x:v>D — niski priorytet/wykluczyć</x:v>
      </x:c>
      <x:c r="C309" s="88" t="n">
        <x:f>MAX(0,MIN(100,SUM(AB309:AG309)-AH309))</x:f>
        <x:v>32</x:v>
      </x:c>
      <x:c r="D309" s="62" t="str">
        <x:v>Mrcook</x:v>
      </x:c>
      <x:c r="E309" s="62" t="str">
        <x:v>Potencjalny reseller / odbiorca hurtowy</x:v>
      </x:c>
      <x:c r="F309" s="62" t="str">
        <x:v>S3 — Akcesoria dla palaczy/headshop</x:v>
      </x:c>
      <x:c r="G309" s="62" t="str">
        <x:v>Hurt B2B regionalny</x:v>
      </x:c>
      <x:c r="H309" s="62" t="str">
        <x:v>Nieustalony</x:v>
      </x:c>
      <x:c r="I309" s="62" t="str"/>
      <x:c r="J309" s="62" t="str">
        <x:v>Nieustalona</x:v>
      </x:c>
      <x:c r="K309" s="62" t="str"/>
      <x:c r="L309" s="62" t="str">
        <x:v>171698694</x:v>
      </x:c>
      <x:c r="M309" s="62" t="str"/>
      <x:c r="N309" s="62" t="str"/>
      <x:c r="O309" s="62" t="str">
        <x:v>https://www.mrcook.pl</x:v>
      </x:c>
      <x:c r="P309" s="62" t="str"/>
      <x:c r="Q309" s="62" t="str">
        <x:v>6342932974</x:v>
      </x:c>
      <x:c r="R309" s="62" t="str"/>
      <x:c r="S309" s="62" t="str">
        <x:v>Web Scraped | Akcesoria tytoniowe</x:v>
      </x:c>
      <x:c r="T309" s="62" t="str">
        <x:f>IF(AND(K309&lt;&gt;"",L309&lt;&gt;"",O309&lt;&gt;""),"Pełny",IF(OR(K309&lt;&gt;"",L309&lt;&gt;""),"Częściowy","Brak bezpośredniego kontaktu"))</x:f>
        <x:v>Częściowy</x:v>
      </x:c>
      <x:c r="U309" s="62" t="str">
        <x:v>Do weryfikacji</x:v>
      </x:c>
      <x:c r="V309" s="62" t="str">
        <x:v>BILLS — hurt@bills.pl</x:v>
      </x:c>
      <x:c r="W309" s="62" t="str">
        <x:v>Archiwum lub weryfikacja przy okazji</x:v>
      </x:c>
      <x:c r="X309" s="81" t="str">
        <x:f>IF(C309&gt;=82,'Model scoringu'!$B$4,IF(C309&gt;=72,'Model scoringu'!$B$5,IF(C309&gt;=58,'Model scoringu'!$B$6,"")))</x:f>
      </x:c>
      <x:c r="Y309" s="62" t="str">
        <x:v>Sprzedaż komplementarnych akcesoriów dla palaczy.</x:v>
      </x:c>
      <x:c r="Z309" s="62" t="str">
        <x:v>https://www.mrcook.pl</x:v>
      </x:c>
      <x:c r="AA309" s="62" t="str">
        <x:v>Automatycznie pobrane przez skrypt. | Status źródłowy: Aktywny</x:v>
      </x:c>
      <x:c r="AB309" s="50" t="n">
        <x:v>18</x:v>
      </x:c>
      <x:c r="AC309" s="50" t="n">
        <x:v>15</x:v>
      </x:c>
      <x:c r="AD309" s="50" t="n">
        <x:v>7</x:v>
      </x:c>
      <x:c r="AE309" s="50" t="n">
        <x:v>7</x:v>
      </x:c>
      <x:c r="AF309" s="50" t="n">
        <x:v>8</x:v>
      </x:c>
      <x:c r="AG309" s="50" t="n">
        <x:v>7</x:v>
      </x:c>
      <x:c r="AH309" s="57" t="n">
        <x:v>30</x:v>
      </x:c>
    </x:row>
    <x:row r="310" ht="34" customHeight="1">
      <x:c r="A310" s="87" t="n">
        <x:v>308</x:v>
      </x:c>
      <x:c r="B310" s="88" t="str">
        <x:f>IF(C310&gt;=82,"A"&amp;1&amp;" — kontakt natychmiast",IF(C310&gt;=72,"A"&amp;2&amp;" — kontakt w 7 dni",IF(C310&gt;=58,"B — kampania regionalna",IF(C310&gt;=42,"C — weryfikacja i nurturing","D — niski priorytet/wykluczyć"))))</x:f>
        <x:v>D — niski priorytet/wykluczyć</x:v>
      </x:c>
      <x:c r="C310" s="88" t="n">
        <x:f>MAX(0,MIN(100,SUM(AB310:AG310)-AH310))</x:f>
        <x:v>32</x:v>
      </x:c>
      <x:c r="D310" s="62" t="str">
        <x:v>Hempmont</x:v>
      </x:c>
      <x:c r="E310" s="62" t="str">
        <x:v>Potencjalny reseller / odbiorca hurtowy</x:v>
      </x:c>
      <x:c r="F310" s="62" t="str">
        <x:v>S3 — Akcesoria dla palaczy/headshop</x:v>
      </x:c>
      <x:c r="G310" s="62" t="str">
        <x:v>Hurt B2B regionalny</x:v>
      </x:c>
      <x:c r="H310" s="62" t="str">
        <x:v>Nieustalony</x:v>
      </x:c>
      <x:c r="I310" s="62" t="str"/>
      <x:c r="J310" s="62" t="str">
        <x:v>Nieustalona</x:v>
      </x:c>
      <x:c r="K310" s="62" t="str"/>
      <x:c r="L310" s="62" t="str">
        <x:v>100459133</x:v>
      </x:c>
      <x:c r="M310" s="62" t="str"/>
      <x:c r="N310" s="62" t="str"/>
      <x:c r="O310" s="62" t="str">
        <x:v>https://www.hempmont.pl</x:v>
      </x:c>
      <x:c r="P310" s="62" t="str"/>
      <x:c r="Q310" s="62" t="str">
        <x:v>8393082771</x:v>
      </x:c>
      <x:c r="R310" s="62" t="str"/>
      <x:c r="S310" s="62" t="str">
        <x:v>Akcesoria Tytoniowe</x:v>
      </x:c>
      <x:c r="T310" s="62" t="str">
        <x:f>IF(AND(K310&lt;&gt;"",L310&lt;&gt;"",O310&lt;&gt;""),"Pełny",IF(OR(K310&lt;&gt;"",L310&lt;&gt;""),"Częściowy","Brak bezpośredniego kontaktu"))</x:f>
        <x:v>Częściowy</x:v>
      </x:c>
      <x:c r="U310" s="62" t="str">
        <x:v>Do weryfikacji</x:v>
      </x:c>
      <x:c r="V310" s="62" t="str">
        <x:v>BILLS — hurt@bills.pl</x:v>
      </x:c>
      <x:c r="W310" s="62" t="str">
        <x:v>Archiwum lub weryfikacja przy okazji</x:v>
      </x:c>
      <x:c r="X310" s="81" t="str">
        <x:f>IF(C310&gt;=82,'Model scoringu'!$B$4,IF(C310&gt;=72,'Model scoringu'!$B$5,IF(C310&gt;=58,'Model scoringu'!$B$6,"")))</x:f>
      </x:c>
      <x:c r="Y310" s="62" t="str">
        <x:v>Sprzedaż komplementarnych akcesoriów dla palaczy.</x:v>
      </x:c>
      <x:c r="Z310" s="62" t="str">
        <x:v>https://www.hempmont.pl</x:v>
      </x:c>
      <x:c r="AA310" s="62" t="str">
        <x:v>Automatycznie pobrane przez skrypt. | Status źródłowy: Aktywny</x:v>
      </x:c>
      <x:c r="AB310" s="50" t="n">
        <x:v>18</x:v>
      </x:c>
      <x:c r="AC310" s="50" t="n">
        <x:v>15</x:v>
      </x:c>
      <x:c r="AD310" s="50" t="n">
        <x:v>7</x:v>
      </x:c>
      <x:c r="AE310" s="50" t="n">
        <x:v>7</x:v>
      </x:c>
      <x:c r="AF310" s="50" t="n">
        <x:v>8</x:v>
      </x:c>
      <x:c r="AG310" s="50" t="n">
        <x:v>7</x:v>
      </x:c>
      <x:c r="AH310" s="57" t="n">
        <x:v>30</x:v>
      </x:c>
    </x:row>
    <x:row r="311" ht="34" customHeight="1">
      <x:c r="A311" s="87" t="n">
        <x:v>309</x:v>
      </x:c>
      <x:c r="B311" s="88" t="str">
        <x:f>IF(C311&gt;=82,"A"&amp;1&amp;" — kontakt natychmiast",IF(C311&gt;=72,"A"&amp;2&amp;" — kontakt w 7 dni",IF(C311&gt;=58,"B — kampania regionalna",IF(C311&gt;=42,"C — weryfikacja i nurturing","D — niski priorytet/wykluczyć"))))</x:f>
        <x:v>D — niski priorytet/wykluczyć</x:v>
      </x:c>
      <x:c r="C311" s="88" t="n">
        <x:f>MAX(0,MIN(100,SUM(AB311:AG311)-AH311))</x:f>
        <x:v>32</x:v>
      </x:c>
      <x:c r="D311" s="62" t="str">
        <x:v>77Pouches</x:v>
      </x:c>
      <x:c r="E311" s="62" t="str">
        <x:v>Potencjalny reseller / odbiorca hurtowy</x:v>
      </x:c>
      <x:c r="F311" s="62" t="str">
        <x:v>S3 — Akcesoria dla palaczy/headshop</x:v>
      </x:c>
      <x:c r="G311" s="62" t="str">
        <x:v>Hurt B2B regionalny</x:v>
      </x:c>
      <x:c r="H311" s="62" t="str">
        <x:v>Nieustalony</x:v>
      </x:c>
      <x:c r="I311" s="62" t="str"/>
      <x:c r="J311" s="62" t="str">
        <x:v>Nieustalona</x:v>
      </x:c>
      <x:c r="K311" s="62" t="str"/>
      <x:c r="L311" s="62" t="str">
        <x:v>178443757</x:v>
      </x:c>
      <x:c r="M311" s="62" t="str"/>
      <x:c r="N311" s="62" t="str"/>
      <x:c r="O311" s="62" t="str">
        <x:v>https://www.77pouches.com</x:v>
      </x:c>
      <x:c r="P311" s="62" t="str"/>
      <x:c r="Q311" s="62" t="str"/>
      <x:c r="R311" s="62" t="str"/>
      <x:c r="S311" s="62" t="str">
        <x:v>Akcesoria Tytoniowe</x:v>
      </x:c>
      <x:c r="T311" s="62" t="str">
        <x:f>IF(AND(K311&lt;&gt;"",L311&lt;&gt;"",O311&lt;&gt;""),"Pełny",IF(OR(K311&lt;&gt;"",L311&lt;&gt;""),"Częściowy","Brak bezpośredniego kontaktu"))</x:f>
        <x:v>Częściowy</x:v>
      </x:c>
      <x:c r="U311" s="62" t="str">
        <x:v>Do weryfikacji</x:v>
      </x:c>
      <x:c r="V311" s="62" t="str">
        <x:v>BILLS — hurt@bills.pl</x:v>
      </x:c>
      <x:c r="W311" s="62" t="str">
        <x:v>Archiwum lub weryfikacja przy okazji</x:v>
      </x:c>
      <x:c r="X311" s="81" t="str">
        <x:f>IF(C311&gt;=82,'Model scoringu'!$B$4,IF(C311&gt;=72,'Model scoringu'!$B$5,IF(C311&gt;=58,'Model scoringu'!$B$6,"")))</x:f>
      </x:c>
      <x:c r="Y311" s="62" t="str">
        <x:v>Sprzedaż komplementarnych akcesoriów dla palaczy.</x:v>
      </x:c>
      <x:c r="Z311" s="62" t="str">
        <x:v>https://www.77pouches.com</x:v>
      </x:c>
      <x:c r="AA311" s="62" t="str">
        <x:v>Automatycznie pobrane przez skrypt. | Status źródłowy: Aktywny</x:v>
      </x:c>
      <x:c r="AB311" s="50" t="n">
        <x:v>18</x:v>
      </x:c>
      <x:c r="AC311" s="50" t="n">
        <x:v>15</x:v>
      </x:c>
      <x:c r="AD311" s="50" t="n">
        <x:v>7</x:v>
      </x:c>
      <x:c r="AE311" s="50" t="n">
        <x:v>7</x:v>
      </x:c>
      <x:c r="AF311" s="50" t="n">
        <x:v>8</x:v>
      </x:c>
      <x:c r="AG311" s="50" t="n">
        <x:v>7</x:v>
      </x:c>
      <x:c r="AH311" s="57" t="n">
        <x:v>30</x:v>
      </x:c>
    </x:row>
    <x:row r="312" ht="34" customHeight="1">
      <x:c r="A312" s="87" t="n">
        <x:v>310</x:v>
      </x:c>
      <x:c r="B312" s="88" t="str">
        <x:f>IF(C312&gt;=82,"A"&amp;1&amp;" — kontakt natychmiast",IF(C312&gt;=72,"A"&amp;2&amp;" — kontakt w 7 dni",IF(C312&gt;=58,"B — kampania regionalna",IF(C312&gt;=42,"C — weryfikacja i nurturing","D — niski priorytet/wykluczyć"))))</x:f>
        <x:v>D — niski priorytet/wykluczyć</x:v>
      </x:c>
      <x:c r="C312" s="88" t="n">
        <x:f>MAX(0,MIN(100,SUM(AB312:AG312)-AH312))</x:f>
        <x:v>31</x:v>
      </x:c>
      <x:c r="D312" s="62" t="str">
        <x:v>Vapego</x:v>
      </x:c>
      <x:c r="E312" s="62" t="str">
        <x:v>Partner cross-sell / kanał sąsiedni</x:v>
      </x:c>
      <x:c r="F312" s="62" t="str">
        <x:v>S4 — Vape/e-papierosy</x:v>
      </x:c>
      <x:c r="G312" s="62" t="str">
        <x:v>Hurt B2B regionalny</x:v>
      </x:c>
      <x:c r="H312" s="62" t="str">
        <x:v>Nieustalony</x:v>
      </x:c>
      <x:c r="I312" s="62" t="str"/>
      <x:c r="J312" s="62" t="str">
        <x:v>Nieustalona</x:v>
      </x:c>
      <x:c r="K312" s="62" t="str">
        <x:v>michael@vapego.pl</x:v>
      </x:c>
      <x:c r="L312" s="62" t="str">
        <x:v>615769688</x:v>
      </x:c>
      <x:c r="M312" s="62" t="str"/>
      <x:c r="N312" s="62" t="str"/>
      <x:c r="O312" s="62" t="str">
        <x:v>https://www.vapego.pl</x:v>
      </x:c>
      <x:c r="P312" s="62" t="str"/>
      <x:c r="Q312" s="62" t="str"/>
      <x:c r="R312" s="62" t="str"/>
      <x:c r="S312" s="62" t="str">
        <x:v>Vape &amp; E-papierosy</x:v>
      </x:c>
      <x:c r="T312" s="62" t="str">
        <x:f>IF(AND(K312&lt;&gt;"",L312&lt;&gt;"",O312&lt;&gt;""),"Pełny",IF(OR(K312&lt;&gt;"",L312&lt;&gt;""),"Częściowy","Brak bezpośredniego kontaktu"))</x:f>
        <x:v>Pełny</x:v>
      </x:c>
      <x:c r="U312" s="62" t="str">
        <x:v>Do weryfikacji</x:v>
      </x:c>
      <x:c r="V312" s="62" t="str">
        <x:v>BILLS — hurt@bills.pl</x:v>
      </x:c>
      <x:c r="W312" s="62" t="str">
        <x:v>Archiwum lub weryfikacja przy okazji</x:v>
      </x:c>
      <x:c r="X312" s="81" t="str">
        <x:f>IF(C312&gt;=82,'Model scoringu'!$B$4,IF(C312&gt;=72,'Model scoringu'!$B$5,IF(C312&gt;=58,'Model scoringu'!$B$6,"")))</x:f>
      </x:c>
      <x:c r="Y312" s="62" t="str">
        <x:v>Kanał sąsiedni z bazą klientów zainteresowanych produktami nikotynowymi.</x:v>
      </x:c>
      <x:c r="Z312" s="62" t="str">
        <x:v>https://www.vapego.pl</x:v>
      </x:c>
      <x:c r="AA312" s="62" t="str">
        <x:v>Automatycznie pobrane przez skrypt. | Status źródłowy: Aktywny</x:v>
      </x:c>
      <x:c r="AB312" s="50" t="n">
        <x:v>11</x:v>
      </x:c>
      <x:c r="AC312" s="50" t="n">
        <x:v>15</x:v>
      </x:c>
      <x:c r="AD312" s="50" t="n">
        <x:v>7</x:v>
      </x:c>
      <x:c r="AE312" s="50" t="n">
        <x:v>13</x:v>
      </x:c>
      <x:c r="AF312" s="50" t="n">
        <x:v>8</x:v>
      </x:c>
      <x:c r="AG312" s="50" t="n">
        <x:v>7</x:v>
      </x:c>
      <x:c r="AH312" s="57" t="n">
        <x:v>30</x:v>
      </x:c>
    </x:row>
    <x:row r="313" ht="34" customHeight="1">
      <x:c r="A313" s="87" t="n">
        <x:v>311</x:v>
      </x:c>
      <x:c r="B313" s="88" t="str">
        <x:f>IF(C313&gt;=82,"A"&amp;1&amp;" — kontakt natychmiast",IF(C313&gt;=72,"A"&amp;2&amp;" — kontakt w 7 dni",IF(C313&gt;=58,"B — kampania regionalna",IF(C313&gt;=42,"C — weryfikacja i nurturing","D — niski priorytet/wykluczyć"))))</x:f>
        <x:v>D — niski priorytet/wykluczyć</x:v>
      </x:c>
      <x:c r="C313" s="88" t="n">
        <x:f>MAX(0,MIN(100,SUM(AB313:AG313)-AH313))</x:f>
        <x:v>31</x:v>
      </x:c>
      <x:c r="D313" s="62" t="str">
        <x:v>Tabascovape</x:v>
      </x:c>
      <x:c r="E313" s="62" t="str">
        <x:v>Partner cross-sell / kanał sąsiedni</x:v>
      </x:c>
      <x:c r="F313" s="62" t="str">
        <x:v>S4 — Vape/e-papierosy</x:v>
      </x:c>
      <x:c r="G313" s="62" t="str">
        <x:v>Hurt B2B regionalny</x:v>
      </x:c>
      <x:c r="H313" s="62" t="str">
        <x:v>Nieustalony</x:v>
      </x:c>
      <x:c r="I313" s="62" t="str"/>
      <x:c r="J313" s="62" t="str">
        <x:v>Nieustalona</x:v>
      </x:c>
      <x:c r="K313" s="62" t="str">
        <x:v>biuro@tabascovape.pl</x:v>
      </x:c>
      <x:c r="L313" s="62" t="str">
        <x:v>999999999</x:v>
      </x:c>
      <x:c r="M313" s="62" t="str"/>
      <x:c r="N313" s="62" t="str"/>
      <x:c r="O313" s="62" t="str">
        <x:v>https://www.tabascovape.pl</x:v>
      </x:c>
      <x:c r="P313" s="62" t="str"/>
      <x:c r="Q313" s="62" t="str"/>
      <x:c r="R313" s="62" t="str"/>
      <x:c r="S313" s="62" t="str">
        <x:v>Vape &amp; E-papierosy</x:v>
      </x:c>
      <x:c r="T313" s="62" t="str">
        <x:f>IF(AND(K313&lt;&gt;"",L313&lt;&gt;"",O313&lt;&gt;""),"Pełny",IF(OR(K313&lt;&gt;"",L313&lt;&gt;""),"Częściowy","Brak bezpośredniego kontaktu"))</x:f>
        <x:v>Pełny</x:v>
      </x:c>
      <x:c r="U313" s="62" t="str">
        <x:v>Do weryfikacji</x:v>
      </x:c>
      <x:c r="V313" s="62" t="str">
        <x:v>BILLS — hurt@bills.pl</x:v>
      </x:c>
      <x:c r="W313" s="62" t="str">
        <x:v>Archiwum lub weryfikacja przy okazji</x:v>
      </x:c>
      <x:c r="X313" s="81" t="str">
        <x:f>IF(C313&gt;=82,'Model scoringu'!$B$4,IF(C313&gt;=72,'Model scoringu'!$B$5,IF(C313&gt;=58,'Model scoringu'!$B$6,"")))</x:f>
      </x:c>
      <x:c r="Y313" s="62" t="str">
        <x:v>Kanał sąsiedni z bazą klientów zainteresowanych produktami nikotynowymi.</x:v>
      </x:c>
      <x:c r="Z313" s="62" t="str">
        <x:v>https://www.tabascovape.pl</x:v>
      </x:c>
      <x:c r="AA313" s="62" t="str">
        <x:v>Automatycznie pobrane przez skrypt. | Status źródłowy: Aktywny</x:v>
      </x:c>
      <x:c r="AB313" s="50" t="n">
        <x:v>11</x:v>
      </x:c>
      <x:c r="AC313" s="50" t="n">
        <x:v>15</x:v>
      </x:c>
      <x:c r="AD313" s="50" t="n">
        <x:v>7</x:v>
      </x:c>
      <x:c r="AE313" s="50" t="n">
        <x:v>13</x:v>
      </x:c>
      <x:c r="AF313" s="50" t="n">
        <x:v>8</x:v>
      </x:c>
      <x:c r="AG313" s="50" t="n">
        <x:v>7</x:v>
      </x:c>
      <x:c r="AH313" s="57" t="n">
        <x:v>30</x:v>
      </x:c>
    </x:row>
    <x:row r="314" ht="34" customHeight="1">
      <x:c r="A314" s="87" t="n">
        <x:v>312</x:v>
      </x:c>
      <x:c r="B314" s="88" t="str">
        <x:f>IF(C314&gt;=82,"A"&amp;1&amp;" — kontakt natychmiast",IF(C314&gt;=72,"A"&amp;2&amp;" — kontakt w 7 dni",IF(C314&gt;=58,"B — kampania regionalna",IF(C314&gt;=42,"C — weryfikacja i nurturing","D — niski priorytet/wykluczyć"))))</x:f>
        <x:v>D — niski priorytet/wykluczyć</x:v>
      </x:c>
      <x:c r="C314" s="88" t="n">
        <x:f>MAX(0,MIN(100,SUM(AB314:AG314)-AH314))</x:f>
        <x:v>31</x:v>
      </x:c>
      <x:c r="D314" s="62" t="str">
        <x:v>Wujo.pl</x:v>
      </x:c>
      <x:c r="E314" s="62" t="str">
        <x:v>Do weryfikacji</x:v>
      </x:c>
      <x:c r="F314" s="62" t="str">
        <x:v>S7 — Pozostałe/niezweryfikowane</x:v>
      </x:c>
      <x:c r="G314" s="62" t="str">
        <x:v>Detal/e-commerce</x:v>
      </x:c>
      <x:c r="H314" s="62" t="str">
        <x:v>Nieustalony</x:v>
      </x:c>
      <x:c r="I314" s="62" t="str"/>
      <x:c r="J314" s="62" t="str">
        <x:v>Nieustalona</x:v>
      </x:c>
      <x:c r="K314" s="62" t="str"/>
      <x:c r="L314" s="62" t="str"/>
      <x:c r="M314" s="62" t="str"/>
      <x:c r="N314" s="62" t="str"/>
      <x:c r="O314" s="62" t="str">
        <x:v>https://wujo.pl/brand/967-wujopl</x:v>
      </x:c>
      <x:c r="P314" s="62" t="str"/>
      <x:c r="Q314" s="62" t="str"/>
      <x:c r="R314" s="62" t="str"/>
      <x:c r="S314" s="62" t="str"/>
      <x:c r="T314" s="62" t="str">
        <x:f>IF(AND(K314&lt;&gt;"",L314&lt;&gt;"",O314&lt;&gt;""),"Pełny",IF(OR(K314&lt;&gt;"",L314&lt;&gt;""),"Częściowy","Brak bezpośredniego kontaktu"))</x:f>
        <x:v>Brak bezpośredniego kontaktu</x:v>
      </x:c>
      <x:c r="U314" s="62" t="str">
        <x:v>Do weryfikacji</x:v>
      </x:c>
      <x:c r="V314" s="62" t="str">
        <x:v>BILLS — hurt@bills.pl</x:v>
      </x:c>
      <x:c r="W314" s="62" t="str">
        <x:v>Archiwum lub weryfikacja przy okazji</x:v>
      </x:c>
      <x:c r="X314" s="81" t="str">
        <x:f>IF(C314&gt;=82,'Model scoringu'!$B$4,IF(C314&gt;=72,'Model scoringu'!$B$5,IF(C314&gt;=58,'Model scoringu'!$B$6,"")))</x:f>
      </x:c>
      <x:c r="Y314" s="62" t="str">
        <x:v>.</x:v>
      </x:c>
      <x:c r="Z314" s="62" t="str">
        <x:v>https://wujo.pl/brand/967-wujopl</x:v>
      </x:c>
      <x:c r="AA314" s="62" t="str"/>
      <x:c r="AB314" s="50" t="n">
        <x:v>4</x:v>
      </x:c>
      <x:c r="AC314" s="50" t="n">
        <x:v>7</x:v>
      </x:c>
      <x:c r="AD314" s="50" t="n">
        <x:v>7</x:v>
      </x:c>
      <x:c r="AE314" s="50" t="n">
        <x:v>3</x:v>
      </x:c>
      <x:c r="AF314" s="50" t="n">
        <x:v>10</x:v>
      </x:c>
      <x:c r="AG314" s="50" t="n">
        <x:v>5</x:v>
      </x:c>
      <x:c r="AH314" s="57" t="n">
        <x:v>5</x:v>
      </x:c>
    </x:row>
    <x:row r="315" ht="34" customHeight="1">
      <x:c r="A315" s="87" t="n">
        <x:v>313</x:v>
      </x:c>
      <x:c r="B315" s="88" t="str">
        <x:f>IF(C315&gt;=82,"A"&amp;1&amp;" — kontakt natychmiast",IF(C315&gt;=72,"A"&amp;2&amp;" — kontakt w 7 dni",IF(C315&gt;=58,"B — kampania regionalna",IF(C315&gt;=42,"C — weryfikacja i nurturing","D — niski priorytet/wykluczyć"))))</x:f>
        <x:v>D — niski priorytet/wykluczyć</x:v>
      </x:c>
      <x:c r="C315" s="88" t="n">
        <x:f>MAX(0,MIN(100,SUM(AB315:AG315)-AH315))</x:f>
        <x:v>31</x:v>
      </x:c>
      <x:c r="D315" s="62" t="str">
        <x:v>TabakOnline.com</x:v>
      </x:c>
      <x:c r="E315" s="62" t="str">
        <x:v>Do weryfikacji</x:v>
      </x:c>
      <x:c r="F315" s="62" t="str">
        <x:v>S7 — Pozostałe/niezweryfikowane</x:v>
      </x:c>
      <x:c r="G315" s="62" t="str">
        <x:v>Detal/e-commerce</x:v>
      </x:c>
      <x:c r="H315" s="62" t="str">
        <x:v>Nieustalony</x:v>
      </x:c>
      <x:c r="I315" s="62" t="str"/>
      <x:c r="J315" s="62" t="str">
        <x:v>Nieustalona</x:v>
      </x:c>
      <x:c r="K315" s="62" t="str"/>
      <x:c r="L315" s="62" t="str"/>
      <x:c r="M315" s="62" t="str"/>
      <x:c r="N315" s="62" t="str"/>
      <x:c r="O315" s="62" t="str">
        <x:v>https://www.tabakonline.com/hurtownia-r8</x:v>
      </x:c>
      <x:c r="P315" s="62" t="str"/>
      <x:c r="Q315" s="62" t="str"/>
      <x:c r="R315" s="62" t="str"/>
      <x:c r="S315" s="62" t="str"/>
      <x:c r="T315" s="62" t="str">
        <x:f>IF(AND(K315&lt;&gt;"",L315&lt;&gt;"",O315&lt;&gt;""),"Pełny",IF(OR(K315&lt;&gt;"",L315&lt;&gt;""),"Częściowy","Brak bezpośredniego kontaktu"))</x:f>
        <x:v>Brak bezpośredniego kontaktu</x:v>
      </x:c>
      <x:c r="U315" s="62" t="str">
        <x:v>Do weryfikacji</x:v>
      </x:c>
      <x:c r="V315" s="62" t="str">
        <x:v>BILLS — hurt@bills.pl</x:v>
      </x:c>
      <x:c r="W315" s="62" t="str">
        <x:v>Archiwum lub weryfikacja przy okazji</x:v>
      </x:c>
      <x:c r="X315" s="81" t="str">
        <x:f>IF(C315&gt;=82,'Model scoringu'!$B$4,IF(C315&gt;=72,'Model scoringu'!$B$5,IF(C315&gt;=58,'Model scoringu'!$B$6,"")))</x:f>
      </x:c>
      <x:c r="Y315" s="62" t="str">
        <x:v>.</x:v>
      </x:c>
      <x:c r="Z315" s="62" t="str">
        <x:v>https://www.tabakonline.com/hurtownia-r8</x:v>
      </x:c>
      <x:c r="AA315" s="62" t="str"/>
      <x:c r="AB315" s="50" t="n">
        <x:v>4</x:v>
      </x:c>
      <x:c r="AC315" s="50" t="n">
        <x:v>7</x:v>
      </x:c>
      <x:c r="AD315" s="50" t="n">
        <x:v>7</x:v>
      </x:c>
      <x:c r="AE315" s="50" t="n">
        <x:v>3</x:v>
      </x:c>
      <x:c r="AF315" s="50" t="n">
        <x:v>10</x:v>
      </x:c>
      <x:c r="AG315" s="50" t="n">
        <x:v>5</x:v>
      </x:c>
      <x:c r="AH315" s="57" t="n">
        <x:v>5</x:v>
      </x:c>
    </x:row>
    <x:row r="316" ht="34" customHeight="1">
      <x:c r="A316" s="87" t="n">
        <x:v>314</x:v>
      </x:c>
      <x:c r="B316" s="88" t="str">
        <x:f>IF(C316&gt;=82,"A"&amp;1&amp;" — kontakt natychmiast",IF(C316&gt;=72,"A"&amp;2&amp;" — kontakt w 7 dni",IF(C316&gt;=58,"B — kampania regionalna",IF(C316&gt;=42,"C — weryfikacja i nurturing","D — niski priorytet/wykluczyć"))))</x:f>
        <x:v>D — niski priorytet/wykluczyć</x:v>
      </x:c>
      <x:c r="C316" s="88" t="n">
        <x:f>MAX(0,MIN(100,SUM(AB316:AG316)-AH316))</x:f>
        <x:v>31</x:v>
      </x:c>
      <x:c r="D316" s="62" t="str">
        <x:v>Mercato Hurt</x:v>
      </x:c>
      <x:c r="E316" s="62" t="str">
        <x:v>Do weryfikacji</x:v>
      </x:c>
      <x:c r="F316" s="62" t="str">
        <x:v>S7 — Pozostałe/niezweryfikowane</x:v>
      </x:c>
      <x:c r="G316" s="62" t="str">
        <x:v>Detal/e-commerce</x:v>
      </x:c>
      <x:c r="H316" s="62" t="str">
        <x:v>Nieustalony</x:v>
      </x:c>
      <x:c r="I316" s="62" t="str"/>
      <x:c r="J316" s="62" t="str">
        <x:v>Nieustalona</x:v>
      </x:c>
      <x:c r="K316" s="62" t="str"/>
      <x:c r="L316" s="62" t="str"/>
      <x:c r="M316" s="62" t="str"/>
      <x:c r="N316" s="62" t="str"/>
      <x:c r="O316" s="62" t="str">
        <x:v>https://b2b.mercatohurt.pl/pl/page/o-nas</x:v>
      </x:c>
      <x:c r="P316" s="62" t="str"/>
      <x:c r="Q316" s="62" t="str"/>
      <x:c r="R316" s="62" t="str"/>
      <x:c r="S316" s="62" t="str"/>
      <x:c r="T316" s="62" t="str">
        <x:f>IF(AND(K316&lt;&gt;"",L316&lt;&gt;"",O316&lt;&gt;""),"Pełny",IF(OR(K316&lt;&gt;"",L316&lt;&gt;""),"Częściowy","Brak bezpośredniego kontaktu"))</x:f>
        <x:v>Brak bezpośredniego kontaktu</x:v>
      </x:c>
      <x:c r="U316" s="62" t="str">
        <x:v>Do weryfikacji</x:v>
      </x:c>
      <x:c r="V316" s="62" t="str">
        <x:v>BILLS — hurt@bills.pl</x:v>
      </x:c>
      <x:c r="W316" s="62" t="str">
        <x:v>Archiwum lub weryfikacja przy okazji</x:v>
      </x:c>
      <x:c r="X316" s="81" t="str">
        <x:f>IF(C316&gt;=82,'Model scoringu'!$B$4,IF(C316&gt;=72,'Model scoringu'!$B$5,IF(C316&gt;=58,'Model scoringu'!$B$6,"")))</x:f>
      </x:c>
      <x:c r="Y316" s="62" t="str">
        <x:v>.</x:v>
      </x:c>
      <x:c r="Z316" s="62" t="str">
        <x:v>https://b2b.mercatohurt.pl/pl/page/o-nas</x:v>
      </x:c>
      <x:c r="AA316" s="62" t="str"/>
      <x:c r="AB316" s="50" t="n">
        <x:v>4</x:v>
      </x:c>
      <x:c r="AC316" s="50" t="n">
        <x:v>7</x:v>
      </x:c>
      <x:c r="AD316" s="50" t="n">
        <x:v>7</x:v>
      </x:c>
      <x:c r="AE316" s="50" t="n">
        <x:v>3</x:v>
      </x:c>
      <x:c r="AF316" s="50" t="n">
        <x:v>10</x:v>
      </x:c>
      <x:c r="AG316" s="50" t="n">
        <x:v>5</x:v>
      </x:c>
      <x:c r="AH316" s="57" t="n">
        <x:v>5</x:v>
      </x:c>
    </x:row>
    <x:row r="317" ht="34" customHeight="1">
      <x:c r="A317" s="87" t="n">
        <x:v>315</x:v>
      </x:c>
      <x:c r="B317" s="88" t="str">
        <x:f>IF(C317&gt;=82,"A"&amp;1&amp;" — kontakt natychmiast",IF(C317&gt;=72,"A"&amp;2&amp;" — kontakt w 7 dni",IF(C317&gt;=58,"B — kampania regionalna",IF(C317&gt;=42,"C — weryfikacja i nurturing","D — niski priorytet/wykluczyć"))))</x:f>
        <x:v>D — niski priorytet/wykluczyć</x:v>
      </x:c>
      <x:c r="C317" s="88" t="n">
        <x:f>MAX(0,MIN(100,SUM(AB317:AG317)-AH317))</x:f>
        <x:v>31</x:v>
      </x:c>
      <x:c r="D317" s="62" t="str">
        <x:v>Liquido</x:v>
      </x:c>
      <x:c r="E317" s="62" t="str">
        <x:v>Do weryfikacji</x:v>
      </x:c>
      <x:c r="F317" s="62" t="str">
        <x:v>S7 — Pozostałe/niezweryfikowane</x:v>
      </x:c>
      <x:c r="G317" s="62" t="str">
        <x:v>Detal/e-commerce</x:v>
      </x:c>
      <x:c r="H317" s="62" t="str">
        <x:v>Nieustalony</x:v>
      </x:c>
      <x:c r="I317" s="62" t="str"/>
      <x:c r="J317" s="62" t="str">
        <x:v>Nieustalona</x:v>
      </x:c>
      <x:c r="K317" s="62" t="str"/>
      <x:c r="L317" s="62" t="str"/>
      <x:c r="M317" s="62" t="str"/>
      <x:c r="N317" s="62" t="str"/>
      <x:c r="O317" s="62" t="str">
        <x:v>https://liquido.pl/strona/5-liquidy-hurt-hurtownia</x:v>
      </x:c>
      <x:c r="P317" s="62" t="str"/>
      <x:c r="Q317" s="62" t="str"/>
      <x:c r="R317" s="62" t="str"/>
      <x:c r="S317" s="62" t="str"/>
      <x:c r="T317" s="62" t="str">
        <x:f>IF(AND(K317&lt;&gt;"",L317&lt;&gt;"",O317&lt;&gt;""),"Pełny",IF(OR(K317&lt;&gt;"",L317&lt;&gt;""),"Częściowy","Brak bezpośredniego kontaktu"))</x:f>
        <x:v>Brak bezpośredniego kontaktu</x:v>
      </x:c>
      <x:c r="U317" s="62" t="str">
        <x:v>Do weryfikacji</x:v>
      </x:c>
      <x:c r="V317" s="62" t="str">
        <x:v>BILLS — hurt@bills.pl</x:v>
      </x:c>
      <x:c r="W317" s="62" t="str">
        <x:v>Archiwum lub weryfikacja przy okazji</x:v>
      </x:c>
      <x:c r="X317" s="81" t="str">
        <x:f>IF(C317&gt;=82,'Model scoringu'!$B$4,IF(C317&gt;=72,'Model scoringu'!$B$5,IF(C317&gt;=58,'Model scoringu'!$B$6,"")))</x:f>
      </x:c>
      <x:c r="Y317" s="62" t="str">
        <x:v>.</x:v>
      </x:c>
      <x:c r="Z317" s="62" t="str">
        <x:v>https://liquido.pl/strona/5-liquidy-hurt-hurtownia</x:v>
      </x:c>
      <x:c r="AA317" s="62" t="str"/>
      <x:c r="AB317" s="50" t="n">
        <x:v>4</x:v>
      </x:c>
      <x:c r="AC317" s="50" t="n">
        <x:v>7</x:v>
      </x:c>
      <x:c r="AD317" s="50" t="n">
        <x:v>7</x:v>
      </x:c>
      <x:c r="AE317" s="50" t="n">
        <x:v>3</x:v>
      </x:c>
      <x:c r="AF317" s="50" t="n">
        <x:v>10</x:v>
      </x:c>
      <x:c r="AG317" s="50" t="n">
        <x:v>5</x:v>
      </x:c>
      <x:c r="AH317" s="57" t="n">
        <x:v>5</x:v>
      </x:c>
    </x:row>
    <x:row r="318" ht="34" customHeight="1">
      <x:c r="A318" s="87" t="n">
        <x:v>316</x:v>
      </x:c>
      <x:c r="B318" s="88" t="str">
        <x:f>IF(C318&gt;=82,"A"&amp;1&amp;" — kontakt natychmiast",IF(C318&gt;=72,"A"&amp;2&amp;" — kontakt w 7 dni",IF(C318&gt;=58,"B — kampania regionalna",IF(C318&gt;=42,"C — weryfikacja i nurturing","D — niski priorytet/wykluczyć"))))</x:f>
        <x:v>D — niski priorytet/wykluczyć</x:v>
      </x:c>
      <x:c r="C318" s="88" t="n">
        <x:f>MAX(0,MIN(100,SUM(AB318:AG318)-AH318))</x:f>
        <x:v>31</x:v>
      </x:c>
      <x:c r="D318" s="62" t="str">
        <x:v>IndorShop</x:v>
      </x:c>
      <x:c r="E318" s="62" t="str">
        <x:v>Do weryfikacji</x:v>
      </x:c>
      <x:c r="F318" s="62" t="str">
        <x:v>S7 — Pozostałe/niezweryfikowane</x:v>
      </x:c>
      <x:c r="G318" s="62" t="str">
        <x:v>Detal/e-commerce</x:v>
      </x:c>
      <x:c r="H318" s="62" t="str">
        <x:v>Nieustalony</x:v>
      </x:c>
      <x:c r="I318" s="62" t="str"/>
      <x:c r="J318" s="62" t="str">
        <x:v>Nieustalona</x:v>
      </x:c>
      <x:c r="K318" s="62" t="str"/>
      <x:c r="L318" s="62" t="str"/>
      <x:c r="M318" s="62" t="str"/>
      <x:c r="N318" s="62" t="str"/>
      <x:c r="O318" s="62" t="str">
        <x:v>https://indorshop.pl/kategoria/headshop</x:v>
      </x:c>
      <x:c r="P318" s="62" t="str"/>
      <x:c r="Q318" s="62" t="str"/>
      <x:c r="R318" s="62" t="str"/>
      <x:c r="S318" s="62" t="str"/>
      <x:c r="T318" s="62" t="str">
        <x:f>IF(AND(K318&lt;&gt;"",L318&lt;&gt;"",O318&lt;&gt;""),"Pełny",IF(OR(K318&lt;&gt;"",L318&lt;&gt;""),"Częściowy","Brak bezpośredniego kontaktu"))</x:f>
        <x:v>Brak bezpośredniego kontaktu</x:v>
      </x:c>
      <x:c r="U318" s="62" t="str">
        <x:v>Do weryfikacji</x:v>
      </x:c>
      <x:c r="V318" s="62" t="str">
        <x:v>BILLS — hurt@bills.pl</x:v>
      </x:c>
      <x:c r="W318" s="62" t="str">
        <x:v>Archiwum lub weryfikacja przy okazji</x:v>
      </x:c>
      <x:c r="X318" s="81" t="str">
        <x:f>IF(C318&gt;=82,'Model scoringu'!$B$4,IF(C318&gt;=72,'Model scoringu'!$B$5,IF(C318&gt;=58,'Model scoringu'!$B$6,"")))</x:f>
      </x:c>
      <x:c r="Y318" s="62" t="str">
        <x:v>.</x:v>
      </x:c>
      <x:c r="Z318" s="62" t="str">
        <x:v>https://indorshop.pl/kategoria/headshop</x:v>
      </x:c>
      <x:c r="AA318" s="62" t="str"/>
      <x:c r="AB318" s="50" t="n">
        <x:v>4</x:v>
      </x:c>
      <x:c r="AC318" s="50" t="n">
        <x:v>7</x:v>
      </x:c>
      <x:c r="AD318" s="50" t="n">
        <x:v>7</x:v>
      </x:c>
      <x:c r="AE318" s="50" t="n">
        <x:v>3</x:v>
      </x:c>
      <x:c r="AF318" s="50" t="n">
        <x:v>10</x:v>
      </x:c>
      <x:c r="AG318" s="50" t="n">
        <x:v>5</x:v>
      </x:c>
      <x:c r="AH318" s="57" t="n">
        <x:v>5</x:v>
      </x:c>
    </x:row>
    <x:row r="319" ht="34" customHeight="1">
      <x:c r="A319" s="87" t="n">
        <x:v>317</x:v>
      </x:c>
      <x:c r="B319" s="88" t="str">
        <x:f>IF(C319&gt;=82,"A"&amp;1&amp;" — kontakt natychmiast",IF(C319&gt;=72,"A"&amp;2&amp;" — kontakt w 7 dni",IF(C319&gt;=58,"B — kampania regionalna",IF(C319&gt;=42,"C — weryfikacja i nurturing","D — niski priorytet/wykluczyć"))))</x:f>
        <x:v>D — niski priorytet/wykluczyć</x:v>
      </x:c>
      <x:c r="C319" s="88" t="n">
        <x:f>MAX(0,MIN(100,SUM(AB319:AG319)-AH319))</x:f>
        <x:v>30</x:v>
      </x:c>
      <x:c r="D319" s="62" t="str">
        <x:v>Premiumcigars</x:v>
      </x:c>
      <x:c r="E319" s="62" t="str">
        <x:v>Partner cross-sell / kanał sąsiedni</x:v>
      </x:c>
      <x:c r="F319" s="62" t="str">
        <x:v>S5 — Cygara i trafiki premium</x:v>
      </x:c>
      <x:c r="G319" s="62" t="str">
        <x:v>Hurt B2B regionalny</x:v>
      </x:c>
      <x:c r="H319" s="62" t="str">
        <x:v>Nieustalony</x:v>
      </x:c>
      <x:c r="I319" s="62" t="str"/>
      <x:c r="J319" s="62" t="str">
        <x:v>Nieustalona</x:v>
      </x:c>
      <x:c r="K319" s="62" t="str">
        <x:v>kontakt@premiumcigars.pl</x:v>
      </x:c>
      <x:c r="L319" s="62" t="str">
        <x:v>166921423</x:v>
      </x:c>
      <x:c r="M319" s="62" t="str"/>
      <x:c r="N319" s="62" t="str"/>
      <x:c r="O319" s="62" t="str">
        <x:v>https://www.premiumcigars.pl</x:v>
      </x:c>
      <x:c r="P319" s="62" t="str"/>
      <x:c r="Q319" s="62" t="str">
        <x:v>6762304405</x:v>
      </x:c>
      <x:c r="R319" s="62" t="str"/>
      <x:c r="S319" s="62" t="str">
        <x:v>Akcesoria Tytoniowe</x:v>
      </x:c>
      <x:c r="T319" s="62" t="str">
        <x:f>IF(AND(K319&lt;&gt;"",L319&lt;&gt;"",O319&lt;&gt;""),"Pełny",IF(OR(K319&lt;&gt;"",L319&lt;&gt;""),"Częściowy","Brak bezpośredniego kontaktu"))</x:f>
        <x:v>Pełny</x:v>
      </x:c>
      <x:c r="U319" s="62" t="str">
        <x:v>Do weryfikacji</x:v>
      </x:c>
      <x:c r="V319" s="62" t="str">
        <x:v>BILLS — hurt@bills.pl</x:v>
      </x:c>
      <x:c r="W319" s="62" t="str">
        <x:v>Archiwum lub weryfikacja przy okazji</x:v>
      </x:c>
      <x:c r="X319" s="81" t="str">
        <x:f>IF(C319&gt;=82,'Model scoringu'!$B$4,IF(C319&gt;=72,'Model scoringu'!$B$5,IF(C319&gt;=58,'Model scoringu'!$B$6,"")))</x:f>
      </x:c>
      <x:c r="Y319" s="62" t="str">
        <x:v>Premium trafiki i specjalistyczne punkty sprzedaży.</x:v>
      </x:c>
      <x:c r="Z319" s="62" t="str">
        <x:v>https://www.premiumcigars.pl</x:v>
      </x:c>
      <x:c r="AA319" s="62" t="str">
        <x:v>Automatycznie pobrane przez skrypt. | Status źródłowy: Aktywny</x:v>
      </x:c>
      <x:c r="AB319" s="50" t="n">
        <x:v>10</x:v>
      </x:c>
      <x:c r="AC319" s="50" t="n">
        <x:v>15</x:v>
      </x:c>
      <x:c r="AD319" s="50" t="n">
        <x:v>7</x:v>
      </x:c>
      <x:c r="AE319" s="50" t="n">
        <x:v>13</x:v>
      </x:c>
      <x:c r="AF319" s="50" t="n">
        <x:v>8</x:v>
      </x:c>
      <x:c r="AG319" s="50" t="n">
        <x:v>7</x:v>
      </x:c>
      <x:c r="AH319" s="57" t="n">
        <x:v>30</x:v>
      </x:c>
    </x:row>
    <x:row r="320" ht="34" customHeight="1">
      <x:c r="A320" s="87" t="n">
        <x:v>318</x:v>
      </x:c>
      <x:c r="B320" s="88" t="str">
        <x:f>IF(C320&gt;=82,"A"&amp;1&amp;" — kontakt natychmiast",IF(C320&gt;=72,"A"&amp;2&amp;" — kontakt w 7 dni",IF(C320&gt;=58,"B — kampania regionalna",IF(C320&gt;=42,"C — weryfikacja i nurturing","D — niski priorytet/wykluczyć"))))</x:f>
        <x:v>D — niski priorytet/wykluczyć</x:v>
      </x:c>
      <x:c r="C320" s="88" t="n">
        <x:f>MAX(0,MIN(100,SUM(AB320:AG320)-AH320))</x:f>
        <x:v>30</x:v>
      </x:c>
      <x:c r="D320" s="62" t="str">
        <x:v>Cygara24</x:v>
      </x:c>
      <x:c r="E320" s="62" t="str">
        <x:v>Partner cross-sell / kanał sąsiedni</x:v>
      </x:c>
      <x:c r="F320" s="62" t="str">
        <x:v>S5 — Cygara i trafiki premium</x:v>
      </x:c>
      <x:c r="G320" s="62" t="str">
        <x:v>Hurt B2B regionalny</x:v>
      </x:c>
      <x:c r="H320" s="62" t="str">
        <x:v>Nieustalony</x:v>
      </x:c>
      <x:c r="I320" s="62" t="str"/>
      <x:c r="J320" s="62" t="str">
        <x:v>Nieustalona</x:v>
      </x:c>
      <x:c r="K320" s="62" t="str">
        <x:v>kontakt@cygara24.pl</x:v>
      </x:c>
      <x:c r="L320" s="62" t="str">
        <x:v>130558-300</x:v>
      </x:c>
      <x:c r="M320" s="62" t="str"/>
      <x:c r="N320" s="62" t="str"/>
      <x:c r="O320" s="62" t="str">
        <x:v>https://www.cygara24.pl</x:v>
      </x:c>
      <x:c r="P320" s="62" t="str"/>
      <x:c r="Q320" s="62" t="str"/>
      <x:c r="R320" s="62" t="str"/>
      <x:c r="S320" s="62" t="str">
        <x:v>Akcesoria Tytoniowe</x:v>
      </x:c>
      <x:c r="T320" s="62" t="str">
        <x:f>IF(AND(K320&lt;&gt;"",L320&lt;&gt;"",O320&lt;&gt;""),"Pełny",IF(OR(K320&lt;&gt;"",L320&lt;&gt;""),"Częściowy","Brak bezpośredniego kontaktu"))</x:f>
        <x:v>Pełny</x:v>
      </x:c>
      <x:c r="U320" s="62" t="str">
        <x:v>Do weryfikacji</x:v>
      </x:c>
      <x:c r="V320" s="62" t="str">
        <x:v>BILLS — hurt@bills.pl</x:v>
      </x:c>
      <x:c r="W320" s="62" t="str">
        <x:v>Archiwum lub weryfikacja przy okazji</x:v>
      </x:c>
      <x:c r="X320" s="81" t="str">
        <x:f>IF(C320&gt;=82,'Model scoringu'!$B$4,IF(C320&gt;=72,'Model scoringu'!$B$5,IF(C320&gt;=58,'Model scoringu'!$B$6,"")))</x:f>
      </x:c>
      <x:c r="Y320" s="62" t="str">
        <x:v>Premium trafiki i specjalistyczne punkty sprzedaży.</x:v>
      </x:c>
      <x:c r="Z320" s="62" t="str">
        <x:v>https://www.cygara24.pl</x:v>
      </x:c>
      <x:c r="AA320" s="62" t="str">
        <x:v>Automatycznie pobrane przez skrypt. | Status źródłowy: Aktywny</x:v>
      </x:c>
      <x:c r="AB320" s="50" t="n">
        <x:v>10</x:v>
      </x:c>
      <x:c r="AC320" s="50" t="n">
        <x:v>15</x:v>
      </x:c>
      <x:c r="AD320" s="50" t="n">
        <x:v>7</x:v>
      </x:c>
      <x:c r="AE320" s="50" t="n">
        <x:v>13</x:v>
      </x:c>
      <x:c r="AF320" s="50" t="n">
        <x:v>8</x:v>
      </x:c>
      <x:c r="AG320" s="50" t="n">
        <x:v>7</x:v>
      </x:c>
      <x:c r="AH320" s="57" t="n">
        <x:v>30</x:v>
      </x:c>
    </x:row>
    <x:row r="321" ht="34" customHeight="1">
      <x:c r="A321" s="87" t="n">
        <x:v>319</x:v>
      </x:c>
      <x:c r="B321" s="88" t="str">
        <x:f>IF(C321&gt;=82,"A"&amp;1&amp;" — kontakt natychmiast",IF(C321&gt;=72,"A"&amp;2&amp;" — kontakt w 7 dni",IF(C321&gt;=58,"B — kampania regionalna",IF(C321&gt;=42,"C — weryfikacja i nurturing","D — niski priorytet/wykluczyć"))))</x:f>
        <x:v>D — niski priorytet/wykluczyć</x:v>
      </x:c>
      <x:c r="C321" s="88" t="n">
        <x:f>MAX(0,MIN(100,SUM(AB321:AG321)-AH321))</x:f>
        <x:v>28</x:v>
      </x:c>
      <x:c r="D321" s="62" t="str">
        <x:v>Strefawapera</x:v>
      </x:c>
      <x:c r="E321" s="62" t="str">
        <x:v>Potencjalny reseller / odbiorca hurtowy</x:v>
      </x:c>
      <x:c r="F321" s="62" t="str">
        <x:v>S3 — Akcesoria dla palaczy/headshop</x:v>
      </x:c>
      <x:c r="G321" s="62" t="str">
        <x:v>Hurt B2B regionalny</x:v>
      </x:c>
      <x:c r="H321" s="62" t="str">
        <x:v>Nieustalony</x:v>
      </x:c>
      <x:c r="I321" s="62" t="str"/>
      <x:c r="J321" s="62" t="str">
        <x:v>Nieustalona</x:v>
      </x:c>
      <x:c r="K321" s="62" t="str"/>
      <x:c r="L321" s="62" t="str"/>
      <x:c r="M321" s="62" t="str"/>
      <x:c r="N321" s="62" t="str"/>
      <x:c r="O321" s="62" t="str">
        <x:v>https://www.strefawapera.pl</x:v>
      </x:c>
      <x:c r="P321" s="62" t="str"/>
      <x:c r="Q321" s="62" t="str"/>
      <x:c r="R321" s="62" t="str"/>
      <x:c r="S321" s="62" t="str">
        <x:v>Akcesoria Tytoniowe</x:v>
      </x:c>
      <x:c r="T321" s="62" t="str">
        <x:f>IF(AND(K321&lt;&gt;"",L321&lt;&gt;"",O321&lt;&gt;""),"Pełny",IF(OR(K321&lt;&gt;"",L321&lt;&gt;""),"Częściowy","Brak bezpośredniego kontaktu"))</x:f>
        <x:v>Brak bezpośredniego kontaktu</x:v>
      </x:c>
      <x:c r="U321" s="62" t="str">
        <x:v>Do weryfikacji</x:v>
      </x:c>
      <x:c r="V321" s="62" t="str">
        <x:v>BILLS — hurt@bills.pl</x:v>
      </x:c>
      <x:c r="W321" s="62" t="str">
        <x:v>Archiwum lub weryfikacja przy okazji</x:v>
      </x:c>
      <x:c r="X321" s="81" t="str">
        <x:f>IF(C321&gt;=82,'Model scoringu'!$B$4,IF(C321&gt;=72,'Model scoringu'!$B$5,IF(C321&gt;=58,'Model scoringu'!$B$6,"")))</x:f>
      </x:c>
      <x:c r="Y321" s="62" t="str">
        <x:v>Sprzedaż komplementarnych akcesoriów dla palaczy.</x:v>
      </x:c>
      <x:c r="Z321" s="62" t="str">
        <x:v>https://www.strefawapera.pl</x:v>
      </x:c>
      <x:c r="AA321" s="62" t="str">
        <x:v>Automatycznie pobrane przez skrypt. | Status źródłowy: Aktywny</x:v>
      </x:c>
      <x:c r="AB321" s="50" t="n">
        <x:v>18</x:v>
      </x:c>
      <x:c r="AC321" s="50" t="n">
        <x:v>15</x:v>
      </x:c>
      <x:c r="AD321" s="50" t="n">
        <x:v>7</x:v>
      </x:c>
      <x:c r="AE321" s="50" t="n">
        <x:v>3</x:v>
      </x:c>
      <x:c r="AF321" s="50" t="n">
        <x:v>8</x:v>
      </x:c>
      <x:c r="AG321" s="50" t="n">
        <x:v>7</x:v>
      </x:c>
      <x:c r="AH321" s="57" t="n">
        <x:v>30</x:v>
      </x:c>
    </x:row>
    <x:row r="322" ht="34" customHeight="1">
      <x:c r="A322" s="87" t="n">
        <x:v>320</x:v>
      </x:c>
      <x:c r="B322" s="88" t="str">
        <x:f>IF(C322&gt;=82,"A"&amp;1&amp;" — kontakt natychmiast",IF(C322&gt;=72,"A"&amp;2&amp;" — kontakt w 7 dni",IF(C322&gt;=58,"B — kampania regionalna",IF(C322&gt;=42,"C — weryfikacja i nurturing","D — niski priorytet/wykluczyć"))))</x:f>
        <x:v>D — niski priorytet/wykluczyć</x:v>
      </x:c>
      <x:c r="C322" s="88" t="n">
        <x:f>MAX(0,MIN(100,SUM(AB322:AG322)-AH322))</x:f>
        <x:v>28</x:v>
      </x:c>
      <x:c r="D322" s="62" t="str">
        <x:v>Royk</x:v>
      </x:c>
      <x:c r="E322" s="62" t="str">
        <x:v>Potencjalny reseller / odbiorca hurtowy</x:v>
      </x:c>
      <x:c r="F322" s="62" t="str">
        <x:v>S3 — Akcesoria dla palaczy/headshop</x:v>
      </x:c>
      <x:c r="G322" s="62" t="str">
        <x:v>Hurt B2B regionalny</x:v>
      </x:c>
      <x:c r="H322" s="62" t="str">
        <x:v>Nieustalony</x:v>
      </x:c>
      <x:c r="I322" s="62" t="str"/>
      <x:c r="J322" s="62" t="str">
        <x:v>Nieustalona</x:v>
      </x:c>
      <x:c r="K322" s="62" t="str"/>
      <x:c r="L322" s="62" t="str"/>
      <x:c r="M322" s="62" t="str"/>
      <x:c r="N322" s="62" t="str"/>
      <x:c r="O322" s="62" t="str">
        <x:v>https://www.royk.pl</x:v>
      </x:c>
      <x:c r="P322" s="62" t="str"/>
      <x:c r="Q322" s="62" t="str"/>
      <x:c r="R322" s="62" t="str"/>
      <x:c r="S322" s="62" t="str">
        <x:v>Akcesoria Tytoniowe</x:v>
      </x:c>
      <x:c r="T322" s="62" t="str">
        <x:f>IF(AND(K322&lt;&gt;"",L322&lt;&gt;"",O322&lt;&gt;""),"Pełny",IF(OR(K322&lt;&gt;"",L322&lt;&gt;""),"Częściowy","Brak bezpośredniego kontaktu"))</x:f>
        <x:v>Brak bezpośredniego kontaktu</x:v>
      </x:c>
      <x:c r="U322" s="62" t="str">
        <x:v>Do weryfikacji</x:v>
      </x:c>
      <x:c r="V322" s="62" t="str">
        <x:v>BILLS — hurt@bills.pl</x:v>
      </x:c>
      <x:c r="W322" s="62" t="str">
        <x:v>Archiwum lub weryfikacja przy okazji</x:v>
      </x:c>
      <x:c r="X322" s="81" t="str">
        <x:f>IF(C322&gt;=82,'Model scoringu'!$B$4,IF(C322&gt;=72,'Model scoringu'!$B$5,IF(C322&gt;=58,'Model scoringu'!$B$6,"")))</x:f>
      </x:c>
      <x:c r="Y322" s="62" t="str">
        <x:v>Sprzedaż komplementarnych akcesoriów dla palaczy.</x:v>
      </x:c>
      <x:c r="Z322" s="62" t="str">
        <x:v>https://www.royk.pl</x:v>
      </x:c>
      <x:c r="AA322" s="62" t="str">
        <x:v>Automatycznie pobrane przez skrypt. | Status źródłowy: Aktywny</x:v>
      </x:c>
      <x:c r="AB322" s="50" t="n">
        <x:v>18</x:v>
      </x:c>
      <x:c r="AC322" s="50" t="n">
        <x:v>15</x:v>
      </x:c>
      <x:c r="AD322" s="50" t="n">
        <x:v>7</x:v>
      </x:c>
      <x:c r="AE322" s="50" t="n">
        <x:v>3</x:v>
      </x:c>
      <x:c r="AF322" s="50" t="n">
        <x:v>8</x:v>
      </x:c>
      <x:c r="AG322" s="50" t="n">
        <x:v>7</x:v>
      </x:c>
      <x:c r="AH322" s="57" t="n">
        <x:v>30</x:v>
      </x:c>
    </x:row>
    <x:row r="323" ht="34" customHeight="1">
      <x:c r="A323" s="87" t="n">
        <x:v>321</x:v>
      </x:c>
      <x:c r="B323" s="88" t="str">
        <x:f>IF(C323&gt;=82,"A"&amp;1&amp;" — kontakt natychmiast",IF(C323&gt;=72,"A"&amp;2&amp;" — kontakt w 7 dni",IF(C323&gt;=58,"B — kampania regionalna",IF(C323&gt;=42,"C — weryfikacja i nurturing","D — niski priorytet/wykluczyć"))))</x:f>
        <x:v>D — niski priorytet/wykluczyć</x:v>
      </x:c>
      <x:c r="C323" s="88" t="n">
        <x:f>MAX(0,MIN(100,SUM(AB323:AG323)-AH323))</x:f>
        <x:v>28</x:v>
      </x:c>
      <x:c r="D323" s="62" t="str">
        <x:v>Hempking</x:v>
      </x:c>
      <x:c r="E323" s="62" t="str">
        <x:v>Potencjalny reseller / odbiorca hurtowy</x:v>
      </x:c>
      <x:c r="F323" s="62" t="str">
        <x:v>S3 — Akcesoria dla palaczy/headshop</x:v>
      </x:c>
      <x:c r="G323" s="62" t="str">
        <x:v>Hurt B2B regionalny</x:v>
      </x:c>
      <x:c r="H323" s="62" t="str">
        <x:v>Nieustalony</x:v>
      </x:c>
      <x:c r="I323" s="62" t="str"/>
      <x:c r="J323" s="62" t="str">
        <x:v>Nieustalona</x:v>
      </x:c>
      <x:c r="K323" s="62" t="str"/>
      <x:c r="L323" s="62" t="str"/>
      <x:c r="M323" s="62" t="str"/>
      <x:c r="N323" s="62" t="str"/>
      <x:c r="O323" s="62" t="str">
        <x:v>https://www.hempking.eu</x:v>
      </x:c>
      <x:c r="P323" s="62" t="str"/>
      <x:c r="Q323" s="62" t="str"/>
      <x:c r="R323" s="62" t="str"/>
      <x:c r="S323" s="62" t="str">
        <x:v>Akcesoria Tytoniowe</x:v>
      </x:c>
      <x:c r="T323" s="62" t="str">
        <x:f>IF(AND(K323&lt;&gt;"",L323&lt;&gt;"",O323&lt;&gt;""),"Pełny",IF(OR(K323&lt;&gt;"",L323&lt;&gt;""),"Częściowy","Brak bezpośredniego kontaktu"))</x:f>
        <x:v>Brak bezpośredniego kontaktu</x:v>
      </x:c>
      <x:c r="U323" s="62" t="str">
        <x:v>Do weryfikacji</x:v>
      </x:c>
      <x:c r="V323" s="62" t="str">
        <x:v>BILLS — hurt@bills.pl</x:v>
      </x:c>
      <x:c r="W323" s="62" t="str">
        <x:v>Archiwum lub weryfikacja przy okazji</x:v>
      </x:c>
      <x:c r="X323" s="81" t="str">
        <x:f>IF(C323&gt;=82,'Model scoringu'!$B$4,IF(C323&gt;=72,'Model scoringu'!$B$5,IF(C323&gt;=58,'Model scoringu'!$B$6,"")))</x:f>
      </x:c>
      <x:c r="Y323" s="62" t="str">
        <x:v>Sprzedaż komplementarnych akcesoriów dla palaczy.</x:v>
      </x:c>
      <x:c r="Z323" s="62" t="str">
        <x:v>https://www.hempking.eu</x:v>
      </x:c>
      <x:c r="AA323" s="62" t="str">
        <x:v>Automatycznie pobrane przez skrypt. | Status źródłowy: Aktywny</x:v>
      </x:c>
      <x:c r="AB323" s="50" t="n">
        <x:v>18</x:v>
      </x:c>
      <x:c r="AC323" s="50" t="n">
        <x:v>15</x:v>
      </x:c>
      <x:c r="AD323" s="50" t="n">
        <x:v>7</x:v>
      </x:c>
      <x:c r="AE323" s="50" t="n">
        <x:v>3</x:v>
      </x:c>
      <x:c r="AF323" s="50" t="n">
        <x:v>8</x:v>
      </x:c>
      <x:c r="AG323" s="50" t="n">
        <x:v>7</x:v>
      </x:c>
      <x:c r="AH323" s="57" t="n">
        <x:v>30</x:v>
      </x:c>
    </x:row>
    <x:row r="324" ht="34" customHeight="1">
      <x:c r="A324" s="87" t="n">
        <x:v>322</x:v>
      </x:c>
      <x:c r="B324" s="88" t="str">
        <x:f>IF(C324&gt;=82,"A"&amp;1&amp;" — kontakt natychmiast",IF(C324&gt;=72,"A"&amp;2&amp;" — kontakt w 7 dni",IF(C324&gt;=58,"B — kampania regionalna",IF(C324&gt;=42,"C — weryfikacja i nurturing","D — niski priorytet/wykluczyć"))))</x:f>
        <x:v>D — niski priorytet/wykluczyć</x:v>
      </x:c>
      <x:c r="C324" s="88" t="n">
        <x:f>MAX(0,MIN(100,SUM(AB324:AG324)-AH324))</x:f>
        <x:v>28</x:v>
      </x:c>
      <x:c r="D324" s="62" t="str">
        <x:v>Drv Distribution</x:v>
      </x:c>
      <x:c r="E324" s="62" t="str">
        <x:v>Potencjalny reseller / odbiorca hurtowy</x:v>
      </x:c>
      <x:c r="F324" s="62" t="str">
        <x:v>S3 — Akcesoria dla palaczy/headshop</x:v>
      </x:c>
      <x:c r="G324" s="62" t="str">
        <x:v>Hurt B2B regionalny</x:v>
      </x:c>
      <x:c r="H324" s="62" t="str">
        <x:v>Nieustalony</x:v>
      </x:c>
      <x:c r="I324" s="62" t="str"/>
      <x:c r="J324" s="62" t="str">
        <x:v>Nieustalona</x:v>
      </x:c>
      <x:c r="K324" s="62" t="str"/>
      <x:c r="L324" s="62" t="str"/>
      <x:c r="M324" s="62" t="str"/>
      <x:c r="N324" s="62" t="str"/>
      <x:c r="O324" s="62" t="str">
        <x:v>https://www.drv-distribution.pl</x:v>
      </x:c>
      <x:c r="P324" s="62" t="str"/>
      <x:c r="Q324" s="62" t="str"/>
      <x:c r="R324" s="62" t="str"/>
      <x:c r="S324" s="62" t="str">
        <x:v>Web Scraped | Akcesoria tytoniowe</x:v>
      </x:c>
      <x:c r="T324" s="62" t="str">
        <x:f>IF(AND(K324&lt;&gt;"",L324&lt;&gt;"",O324&lt;&gt;""),"Pełny",IF(OR(K324&lt;&gt;"",L324&lt;&gt;""),"Częściowy","Brak bezpośredniego kontaktu"))</x:f>
        <x:v>Brak bezpośredniego kontaktu</x:v>
      </x:c>
      <x:c r="U324" s="62" t="str">
        <x:v>Do weryfikacji</x:v>
      </x:c>
      <x:c r="V324" s="62" t="str">
        <x:v>BILLS — hurt@bills.pl</x:v>
      </x:c>
      <x:c r="W324" s="62" t="str">
        <x:v>Archiwum lub weryfikacja przy okazji</x:v>
      </x:c>
      <x:c r="X324" s="81" t="str">
        <x:f>IF(C324&gt;=82,'Model scoringu'!$B$4,IF(C324&gt;=72,'Model scoringu'!$B$5,IF(C324&gt;=58,'Model scoringu'!$B$6,"")))</x:f>
      </x:c>
      <x:c r="Y324" s="62" t="str">
        <x:v>Sprzedaż komplementarnych akcesoriów dla palaczy.</x:v>
      </x:c>
      <x:c r="Z324" s="62" t="str">
        <x:v>https://www.drv-distribution.pl</x:v>
      </x:c>
      <x:c r="AA324" s="62" t="str">
        <x:v>Automatycznie pobrane przez skrypt. | Status źródłowy: Aktywny</x:v>
      </x:c>
      <x:c r="AB324" s="50" t="n">
        <x:v>18</x:v>
      </x:c>
      <x:c r="AC324" s="50" t="n">
        <x:v>15</x:v>
      </x:c>
      <x:c r="AD324" s="50" t="n">
        <x:v>7</x:v>
      </x:c>
      <x:c r="AE324" s="50" t="n">
        <x:v>3</x:v>
      </x:c>
      <x:c r="AF324" s="50" t="n">
        <x:v>8</x:v>
      </x:c>
      <x:c r="AG324" s="50" t="n">
        <x:v>7</x:v>
      </x:c>
      <x:c r="AH324" s="57" t="n">
        <x:v>30</x:v>
      </x:c>
    </x:row>
    <x:row r="325" ht="34" customHeight="1">
      <x:c r="A325" s="87" t="n">
        <x:v>323</x:v>
      </x:c>
      <x:c r="B325" s="88" t="str">
        <x:f>IF(C325&gt;=82,"A"&amp;1&amp;" — kontakt natychmiast",IF(C325&gt;=72,"A"&amp;2&amp;" — kontakt w 7 dni",IF(C325&gt;=58,"B — kampania regionalna",IF(C325&gt;=42,"C — weryfikacja i nurturing","D — niski priorytet/wykluczyć"))))</x:f>
        <x:v>D — niski priorytet/wykluczyć</x:v>
      </x:c>
      <x:c r="C325" s="88" t="n">
        <x:f>MAX(0,MIN(100,SUM(AB325:AG325)-AH325))</x:f>
        <x:v>28</x:v>
      </x:c>
      <x:c r="D325" s="62" t="str">
        <x:v>Ckbiz</x:v>
      </x:c>
      <x:c r="E325" s="62" t="str">
        <x:v>Potencjalny reseller / odbiorca hurtowy</x:v>
      </x:c>
      <x:c r="F325" s="62" t="str">
        <x:v>S3 — Akcesoria dla palaczy/headshop</x:v>
      </x:c>
      <x:c r="G325" s="62" t="str">
        <x:v>Hurt B2B regionalny</x:v>
      </x:c>
      <x:c r="H325" s="62" t="str">
        <x:v>Nieustalony</x:v>
      </x:c>
      <x:c r="I325" s="62" t="str"/>
      <x:c r="J325" s="62" t="str">
        <x:v>Nieustalona</x:v>
      </x:c>
      <x:c r="K325" s="62" t="str"/>
      <x:c r="L325" s="62" t="str"/>
      <x:c r="M325" s="62" t="str"/>
      <x:c r="N325" s="62" t="str"/>
      <x:c r="O325" s="62" t="str">
        <x:v>https://www.ckbiz.pl</x:v>
      </x:c>
      <x:c r="P325" s="62" t="str"/>
      <x:c r="Q325" s="62" t="str"/>
      <x:c r="R325" s="62" t="str"/>
      <x:c r="S325" s="62" t="str">
        <x:v>Akcesoria Tytoniowe</x:v>
      </x:c>
      <x:c r="T325" s="62" t="str">
        <x:f>IF(AND(K325&lt;&gt;"",L325&lt;&gt;"",O325&lt;&gt;""),"Pełny",IF(OR(K325&lt;&gt;"",L325&lt;&gt;""),"Częściowy","Brak bezpośredniego kontaktu"))</x:f>
        <x:v>Brak bezpośredniego kontaktu</x:v>
      </x:c>
      <x:c r="U325" s="62" t="str">
        <x:v>Do weryfikacji</x:v>
      </x:c>
      <x:c r="V325" s="62" t="str">
        <x:v>BILLS — hurt@bills.pl</x:v>
      </x:c>
      <x:c r="W325" s="62" t="str">
        <x:v>Archiwum lub weryfikacja przy okazji</x:v>
      </x:c>
      <x:c r="X325" s="81" t="str">
        <x:f>IF(C325&gt;=82,'Model scoringu'!$B$4,IF(C325&gt;=72,'Model scoringu'!$B$5,IF(C325&gt;=58,'Model scoringu'!$B$6,"")))</x:f>
      </x:c>
      <x:c r="Y325" s="62" t="str">
        <x:v>Sprzedaż komplementarnych akcesoriów dla palaczy.</x:v>
      </x:c>
      <x:c r="Z325" s="62" t="str">
        <x:v>https://www.ckbiz.pl</x:v>
      </x:c>
      <x:c r="AA325" s="62" t="str">
        <x:v>Automatycznie pobrane przez skrypt. | Status źródłowy: Aktywny</x:v>
      </x:c>
      <x:c r="AB325" s="50" t="n">
        <x:v>18</x:v>
      </x:c>
      <x:c r="AC325" s="50" t="n">
        <x:v>15</x:v>
      </x:c>
      <x:c r="AD325" s="50" t="n">
        <x:v>7</x:v>
      </x:c>
      <x:c r="AE325" s="50" t="n">
        <x:v>3</x:v>
      </x:c>
      <x:c r="AF325" s="50" t="n">
        <x:v>8</x:v>
      </x:c>
      <x:c r="AG325" s="50" t="n">
        <x:v>7</x:v>
      </x:c>
      <x:c r="AH325" s="57" t="n">
        <x:v>30</x:v>
      </x:c>
    </x:row>
    <x:row r="326" ht="34" customHeight="1">
      <x:c r="A326" s="87" t="n">
        <x:v>324</x:v>
      </x:c>
      <x:c r="B326" s="88" t="str">
        <x:f>IF(C326&gt;=82,"A"&amp;1&amp;" — kontakt natychmiast",IF(C326&gt;=72,"A"&amp;2&amp;" — kontakt w 7 dni",IF(C326&gt;=58,"B — kampania regionalna",IF(C326&gt;=42,"C — weryfikacja i nurturing","D — niski priorytet/wykluczyć"))))</x:f>
        <x:v>D — niski priorytet/wykluczyć</x:v>
      </x:c>
      <x:c r="C326" s="88" t="n">
        <x:f>MAX(0,MIN(100,SUM(AB326:AG326)-AH326))</x:f>
        <x:v>28</x:v>
      </x:c>
      <x:c r="D326" s="62" t="str">
        <x:v>Bulkbong</x:v>
      </x:c>
      <x:c r="E326" s="62" t="str">
        <x:v>Potencjalny reseller / odbiorca hurtowy</x:v>
      </x:c>
      <x:c r="F326" s="62" t="str">
        <x:v>S3 — Akcesoria dla palaczy/headshop</x:v>
      </x:c>
      <x:c r="G326" s="62" t="str">
        <x:v>Hurt B2B regionalny</x:v>
      </x:c>
      <x:c r="H326" s="62" t="str">
        <x:v>Nieustalony</x:v>
      </x:c>
      <x:c r="I326" s="62" t="str"/>
      <x:c r="J326" s="62" t="str">
        <x:v>Nieustalona</x:v>
      </x:c>
      <x:c r="K326" s="62" t="str"/>
      <x:c r="L326" s="62" t="str"/>
      <x:c r="M326" s="62" t="str"/>
      <x:c r="N326" s="62" t="str"/>
      <x:c r="O326" s="62" t="str">
        <x:v>https://www.bulkbong.com</x:v>
      </x:c>
      <x:c r="P326" s="62" t="str"/>
      <x:c r="Q326" s="62" t="str"/>
      <x:c r="R326" s="62" t="str"/>
      <x:c r="S326" s="62" t="str">
        <x:v>Bibułki &amp; Bletki | Headshop (Bonga, Shisha)</x:v>
      </x:c>
      <x:c r="T326" s="62" t="str">
        <x:f>IF(AND(K326&lt;&gt;"",L326&lt;&gt;"",O326&lt;&gt;""),"Pełny",IF(OR(K326&lt;&gt;"",L326&lt;&gt;""),"Częściowy","Brak bezpośredniego kontaktu"))</x:f>
        <x:v>Brak bezpośredniego kontaktu</x:v>
      </x:c>
      <x:c r="U326" s="62" t="str">
        <x:v>Do weryfikacji</x:v>
      </x:c>
      <x:c r="V326" s="62" t="str">
        <x:v>BILLS — hurt@bills.pl</x:v>
      </x:c>
      <x:c r="W326" s="62" t="str">
        <x:v>Archiwum lub weryfikacja przy okazji</x:v>
      </x:c>
      <x:c r="X326" s="81" t="str">
        <x:f>IF(C326&gt;=82,'Model scoringu'!$B$4,IF(C326&gt;=72,'Model scoringu'!$B$5,IF(C326&gt;=58,'Model scoringu'!$B$6,"")))</x:f>
      </x:c>
      <x:c r="Y326" s="62" t="str">
        <x:v>Sprzedaż komplementarnych akcesoriów dla palaczy.</x:v>
      </x:c>
      <x:c r="Z326" s="62" t="str">
        <x:v>https://www.bulkbong.com</x:v>
      </x:c>
      <x:c r="AA326" s="62" t="str">
        <x:v>Dodane na prośbę użytkownika z wyników wyszukiwania (maszynki do skręcania). | Status źródłowy: Aktywny</x:v>
      </x:c>
      <x:c r="AB326" s="50" t="n">
        <x:v>18</x:v>
      </x:c>
      <x:c r="AC326" s="50" t="n">
        <x:v>15</x:v>
      </x:c>
      <x:c r="AD326" s="50" t="n">
        <x:v>7</x:v>
      </x:c>
      <x:c r="AE326" s="50" t="n">
        <x:v>3</x:v>
      </x:c>
      <x:c r="AF326" s="50" t="n">
        <x:v>8</x:v>
      </x:c>
      <x:c r="AG326" s="50" t="n">
        <x:v>7</x:v>
      </x:c>
      <x:c r="AH326" s="57" t="n">
        <x:v>30</x:v>
      </x:c>
    </x:row>
    <x:row r="327" ht="34" customHeight="1">
      <x:c r="A327" s="87" t="n">
        <x:v>325</x:v>
      </x:c>
      <x:c r="B327" s="88" t="str">
        <x:f>IF(C327&gt;=82,"A"&amp;1&amp;" — kontakt natychmiast",IF(C327&gt;=72,"A"&amp;2&amp;" — kontakt w 7 dni",IF(C327&gt;=58,"B — kampania regionalna",IF(C327&gt;=42,"C — weryfikacja i nurturing","D — niski priorytet/wykluczyć"))))</x:f>
        <x:v>D — niski priorytet/wykluczyć</x:v>
      </x:c>
      <x:c r="C327" s="88" t="n">
        <x:f>MAX(0,MIN(100,SUM(AB327:AG327)-AH327))</x:f>
        <x:v>24</x:v>
      </x:c>
      <x:c r="D327" s="62" t="str">
        <x:v>Tabak Polska Sp. z o.o. (lista sklepów)</x:v>
      </x:c>
      <x:c r="E327" s="62" t="str">
        <x:v>Do weryfikacji</x:v>
      </x:c>
      <x:c r="F327" s="62" t="str">
        <x:v>S7 — Pozostałe/niezweryfikowane</x:v>
      </x:c>
      <x:c r="G327" s="62" t="str">
        <x:v>Detal/e-commerce</x:v>
      </x:c>
      <x:c r="H327" s="62" t="str">
        <x:v>Nieustalony</x:v>
      </x:c>
      <x:c r="I327" s="62" t="str"/>
      <x:c r="J327" s="62" t="str">
        <x:v>Nieustalona</x:v>
      </x:c>
      <x:c r="K327" s="62" t="str"/>
      <x:c r="L327" s="62" t="str"/>
      <x:c r="M327" s="62" t="str"/>
      <x:c r="N327" s="62" t="str"/>
      <x:c r="O327" s="62" t="str">
        <x:v>https://www.zyn.com/content/dam/wam/locale/poland/p5/sampling-offer/Za%C5</x:v>
      </x:c>
      <x:c r="P327" s="62" t="str"/>
      <x:c r="Q327" s="62" t="str"/>
      <x:c r="R327" s="62" t="str"/>
      <x:c r="S327" s="62" t="str"/>
      <x:c r="T327" s="62" t="str">
        <x:f>IF(AND(K327&lt;&gt;"",L327&lt;&gt;"",O327&lt;&gt;""),"Pełny",IF(OR(K327&lt;&gt;"",L327&lt;&gt;""),"Częściowy","Brak bezpośredniego kontaktu"))</x:f>
        <x:v>Brak bezpośredniego kontaktu</x:v>
      </x:c>
      <x:c r="U327" s="62" t="str">
        <x:v>Do weryfikacji</x:v>
      </x:c>
      <x:c r="V327" s="62" t="str">
        <x:v>BILLS — hurt@bills.pl</x:v>
      </x:c>
      <x:c r="W327" s="62" t="str">
        <x:v>Archiwum lub weryfikacja przy okazji</x:v>
      </x:c>
      <x:c r="X327" s="81" t="str">
        <x:f>IF(C327&gt;=82,'Model scoringu'!$B$4,IF(C327&gt;=72,'Model scoringu'!$B$5,IF(C327&gt;=58,'Model scoringu'!$B$6,"")))</x:f>
      </x:c>
      <x:c r="Y327" s="62" t="str">
        <x:v>.</x:v>
      </x:c>
      <x:c r="Z327" s="62" t="str">
        <x:v>https://www.zyn.com/content/dam/wam/locale/poland/p5/sampling-offer/Za%C5</x:v>
      </x:c>
      <x:c r="AA327" s="62" t="str"/>
      <x:c r="AB327" s="50" t="n">
        <x:v>4</x:v>
      </x:c>
      <x:c r="AC327" s="50" t="n">
        <x:v>7</x:v>
      </x:c>
      <x:c r="AD327" s="50" t="n">
        <x:v>7</x:v>
      </x:c>
      <x:c r="AE327" s="50" t="n">
        <x:v>3</x:v>
      </x:c>
      <x:c r="AF327" s="50" t="n">
        <x:v>3</x:v>
      </x:c>
      <x:c r="AG327" s="50" t="n">
        <x:v>5</x:v>
      </x:c>
      <x:c r="AH327" s="57" t="n">
        <x:v>5</x:v>
      </x:c>
    </x:row>
    <x:row r="328" ht="34" customHeight="1">
      <x:c r="A328" s="87" t="n">
        <x:v>326</x:v>
      </x:c>
      <x:c r="B328" s="88" t="str">
        <x:f>IF(C328&gt;=82,"A"&amp;1&amp;" — kontakt natychmiast",IF(C328&gt;=72,"A"&amp;2&amp;" — kontakt w 7 dni",IF(C328&gt;=58,"B — kampania regionalna",IF(C328&gt;=42,"C — weryfikacja i nurturing","D — niski priorytet/wykluczyć"))))</x:f>
        <x:v>D — niski priorytet/wykluczyć</x:v>
      </x:c>
      <x:c r="C328" s="88" t="n">
        <x:f>MAX(0,MIN(100,SUM(AB328:AG328)-AH328))</x:f>
        <x:v>24</x:v>
      </x:c>
      <x:c r="D328" s="62" t="str">
        <x:v>TAKS Sp. z o.o.</x:v>
      </x:c>
      <x:c r="E328" s="62" t="str">
        <x:v>Do weryfikacji</x:v>
      </x:c>
      <x:c r="F328" s="62" t="str">
        <x:v>S7 — Pozostałe/niezweryfikowane</x:v>
      </x:c>
      <x:c r="G328" s="62" t="str">
        <x:v>Detal/e-commerce</x:v>
      </x:c>
      <x:c r="H328" s="62" t="str">
        <x:v>Nieustalony</x:v>
      </x:c>
      <x:c r="I328" s="62" t="str"/>
      <x:c r="J328" s="62" t="str">
        <x:v>Nieustalona</x:v>
      </x:c>
      <x:c r="K328" s="62" t="str"/>
      <x:c r="L328" s="62" t="str"/>
      <x:c r="M328" s="62" t="str"/>
      <x:c r="N328" s="62" t="str"/>
      <x:c r="O328" s="62" t="str">
        <x:v>https://www.taks.stg.pl/oferta/artykuly-tytoniowe-gdansk</x:v>
      </x:c>
      <x:c r="P328" s="62" t="str"/>
      <x:c r="Q328" s="62" t="str"/>
      <x:c r="R328" s="62" t="str"/>
      <x:c r="S328" s="62" t="str"/>
      <x:c r="T328" s="62" t="str">
        <x:f>IF(AND(K328&lt;&gt;"",L328&lt;&gt;"",O328&lt;&gt;""),"Pełny",IF(OR(K328&lt;&gt;"",L328&lt;&gt;""),"Częściowy","Brak bezpośredniego kontaktu"))</x:f>
        <x:v>Brak bezpośredniego kontaktu</x:v>
      </x:c>
      <x:c r="U328" s="62" t="str">
        <x:v>Do weryfikacji</x:v>
      </x:c>
      <x:c r="V328" s="62" t="str">
        <x:v>BILLS — hurt@bills.pl</x:v>
      </x:c>
      <x:c r="W328" s="62" t="str">
        <x:v>Archiwum lub weryfikacja przy okazji</x:v>
      </x:c>
      <x:c r="X328" s="81" t="str">
        <x:f>IF(C328&gt;=82,'Model scoringu'!$B$4,IF(C328&gt;=72,'Model scoringu'!$B$5,IF(C328&gt;=58,'Model scoringu'!$B$6,"")))</x:f>
      </x:c>
      <x:c r="Y328" s="62" t="str">
        <x:v>.</x:v>
      </x:c>
      <x:c r="Z328" s="62" t="str">
        <x:v>https://www.taks.stg.pl/oferta/artykuly-tytoniowe-gdansk</x:v>
      </x:c>
      <x:c r="AA328" s="62" t="str"/>
      <x:c r="AB328" s="50" t="n">
        <x:v>4</x:v>
      </x:c>
      <x:c r="AC328" s="50" t="n">
        <x:v>7</x:v>
      </x:c>
      <x:c r="AD328" s="50" t="n">
        <x:v>7</x:v>
      </x:c>
      <x:c r="AE328" s="50" t="n">
        <x:v>3</x:v>
      </x:c>
      <x:c r="AF328" s="50" t="n">
        <x:v>3</x:v>
      </x:c>
      <x:c r="AG328" s="50" t="n">
        <x:v>5</x:v>
      </x:c>
      <x:c r="AH328" s="57" t="n">
        <x:v>5</x:v>
      </x:c>
    </x:row>
    <x:row r="329" ht="34" customHeight="1">
      <x:c r="A329" s="87" t="n">
        <x:v>327</x:v>
      </x:c>
      <x:c r="B329" s="88" t="str">
        <x:f>IF(C329&gt;=82,"A"&amp;1&amp;" — kontakt natychmiast",IF(C329&gt;=72,"A"&amp;2&amp;" — kontakt w 7 dni",IF(C329&gt;=58,"B — kampania regionalna",IF(C329&gt;=42,"C — weryfikacja i nurturing","D — niski priorytet/wykluczyć"))))</x:f>
        <x:v>D — niski priorytet/wykluczyć</x:v>
      </x:c>
      <x:c r="C329" s="88" t="n">
        <x:f>MAX(0,MIN(100,SUM(AB329:AG329)-AH329))</x:f>
        <x:v>20</x:v>
      </x:c>
      <x:c r="D329" s="62" t="str">
        <x:v>Cigarkoneser</x:v>
      </x:c>
      <x:c r="E329" s="62" t="str">
        <x:v>Partner cross-sell / kanał sąsiedni</x:v>
      </x:c>
      <x:c r="F329" s="62" t="str">
        <x:v>S5 — Cygara i trafiki premium</x:v>
      </x:c>
      <x:c r="G329" s="62" t="str">
        <x:v>Hurt B2B regionalny</x:v>
      </x:c>
      <x:c r="H329" s="62" t="str">
        <x:v>Nieustalony</x:v>
      </x:c>
      <x:c r="I329" s="62" t="str"/>
      <x:c r="J329" s="62" t="str">
        <x:v>Nieustalona</x:v>
      </x:c>
      <x:c r="K329" s="62" t="str"/>
      <x:c r="L329" s="62" t="str"/>
      <x:c r="M329" s="62" t="str"/>
      <x:c r="N329" s="62" t="str"/>
      <x:c r="O329" s="62" t="str">
        <x:v>https://www.cigarkoneser.pl</x:v>
      </x:c>
      <x:c r="P329" s="62" t="str"/>
      <x:c r="Q329" s="62" t="str"/>
      <x:c r="R329" s="62" t="str"/>
      <x:c r="S329" s="62" t="str">
        <x:v>Akcesoria Tytoniowe</x:v>
      </x:c>
      <x:c r="T329" s="62" t="str">
        <x:f>IF(AND(K329&lt;&gt;"",L329&lt;&gt;"",O329&lt;&gt;""),"Pełny",IF(OR(K329&lt;&gt;"",L329&lt;&gt;""),"Częściowy","Brak bezpośredniego kontaktu"))</x:f>
        <x:v>Brak bezpośredniego kontaktu</x:v>
      </x:c>
      <x:c r="U329" s="62" t="str">
        <x:v>Do weryfikacji</x:v>
      </x:c>
      <x:c r="V329" s="62" t="str">
        <x:v>BILLS — hurt@bills.pl</x:v>
      </x:c>
      <x:c r="W329" s="62" t="str">
        <x:v>Archiwum lub weryfikacja przy okazji</x:v>
      </x:c>
      <x:c r="X329" s="81" t="str">
        <x:f>IF(C329&gt;=82,'Model scoringu'!$B$4,IF(C329&gt;=72,'Model scoringu'!$B$5,IF(C329&gt;=58,'Model scoringu'!$B$6,"")))</x:f>
      </x:c>
      <x:c r="Y329" s="62" t="str">
        <x:v>Premium trafiki i specjalistyczne punkty sprzedaży.</x:v>
      </x:c>
      <x:c r="Z329" s="62" t="str">
        <x:v>https://www.cigarkoneser.pl</x:v>
      </x:c>
      <x:c r="AA329" s="62" t="str">
        <x:v>Automatycznie pobrane przez skrypt. | Status źródłowy: Aktywny</x:v>
      </x:c>
      <x:c r="AB329" s="50" t="n">
        <x:v>10</x:v>
      </x:c>
      <x:c r="AC329" s="50" t="n">
        <x:v>15</x:v>
      </x:c>
      <x:c r="AD329" s="50" t="n">
        <x:v>7</x:v>
      </x:c>
      <x:c r="AE329" s="50" t="n">
        <x:v>3</x:v>
      </x:c>
      <x:c r="AF329" s="50" t="n">
        <x:v>8</x:v>
      </x:c>
      <x:c r="AG329" s="50" t="n">
        <x:v>7</x:v>
      </x:c>
      <x:c r="AH329" s="57" t="n">
        <x:v>30</x:v>
      </x:c>
    </x:row>
    <x:row r="330" ht="34" customHeight="1">
      <x:c r="A330" s="89" t="n">
        <x:v>328</x:v>
      </x:c>
      <x:c r="B330" s="90" t="str">
        <x:f>IF(C330&gt;=82,"A"&amp;1&amp;" — kontakt natychmiast",IF(C330&gt;=72,"A"&amp;2&amp;" — kontakt w 7 dni",IF(C330&gt;=58,"B — kampania regionalna",IF(C330&gt;=42,"C — weryfikacja i nurturing","D — niski priorytet/wykluczyć"))))</x:f>
        <x:v>D — niski priorytet/wykluczyć</x:v>
      </x:c>
      <x:c r="C330" s="90" t="n">
        <x:f>MAX(0,MIN(100,SUM(AB330:AG330)-AH330))</x:f>
        <x:v>0</x:v>
      </x:c>
      <x:c r="D330" s="82" t="str">
        <x:v>BILLS Sp. z o.o. (marka Smoks)</x:v>
      </x:c>
      <x:c r="E330" s="82" t="str">
        <x:v>Wykluczyć — podmiot własny BILLS</x:v>
      </x:c>
      <x:c r="F330" s="82" t="str">
        <x:v>S1 — RYO/MYO, gilzy i nabijarki</x:v>
      </x:c>
      <x:c r="G330" s="82" t="str">
        <x:v>Hurt ogólnopolski</x:v>
      </x:c>
      <x:c r="H330" s="82" t="str">
        <x:v>Opolskie</x:v>
      </x:c>
      <x:c r="I330" s="82" t="str">
        <x:v>Ostrzeszów</x:v>
      </x:c>
      <x:c r="J330" s="82" t="str">
        <x:v>Duży</x:v>
      </x:c>
      <x:c r="K330" s="82" t="str">
        <x:v>hurt@bills.pl</x:v>
      </x:c>
      <x:c r="L330" s="82" t="str">
        <x:v>+48 62 586 07 38</x:v>
      </x:c>
      <x:c r="M330" s="82" t="str"/>
      <x:c r="N330" s="82" t="str"/>
      <x:c r="O330" s="82" t="str">
        <x:v>https://powermatic.pl</x:v>
      </x:c>
      <x:c r="P330" s="82" t="str">
        <x:v>ul. Ignacego Daszyńskiego 31, 63-500 Ostrzeszów, Poland</x:v>
      </x:c>
      <x:c r="Q330" s="82" t="str"/>
      <x:c r="R330" s="82" t="str"/>
      <x:c r="S330" s="82" t="str">
        <x:v>Nabijarki &amp; Zwijarki | Powermatic 150 manual injector | Powermatic I+ manual injector | Powermatic II electric injector | Powermatic IV automatic dispenser | Rdzeń systemu nabijarek</x:v>
      </x:c>
      <x:c r="T330" s="82" t="str">
        <x:f>IF(AND(K330&lt;&gt;"",L330&lt;&gt;"",O330&lt;&gt;""),"Pełny",IF(OR(K330&lt;&gt;"",L330&lt;&gt;""),"Częściowy","Brak bezpośredniego kontaktu"))</x:f>
        <x:v>Pełny</x:v>
      </x:c>
      <x:c r="U330" s="82" t="str">
        <x:v>Wykluczony</x:v>
      </x:c>
      <x:c r="V330" s="82" t="str">
        <x:v>BILLS — hurt@bills.pl</x:v>
      </x:c>
      <x:c r="W330" s="82" t="str">
        <x:v>Nie kontaktować — rekord własny lub wykluczony</x:v>
      </x:c>
      <x:c r="X330" s="83" t="str">
        <x:f>IF(C330&gt;=82,'Model scoringu'!$B$4,IF(C330&gt;=72,'Model scoringu'!$B$5,IF(C330&gt;=58,'Model scoringu'!$B$6,"")))</x:f>
      </x:c>
      <x:c r="Y330" s="82" t="str">
        <x:v>Bezpośrednie dopasowanie do ryo/myo, gilz lub nabijarek; zasięg ponadregionalny.</x:v>
      </x:c>
      <x:c r="Z330" s="82" t="str">
        <x:v>https://powermatic.pl</x:v>
      </x:c>
      <x:c r="AA330" s="82" t="str">
        <x:v>Nie potwierdzone | Status źródłowy: Dostępny w katalogu</x:v>
      </x:c>
      <x:c r="AB330" s="59" t="n">
        <x:v>30</x:v>
      </x:c>
      <x:c r="AC330" s="59" t="n">
        <x:v>18</x:v>
      </x:c>
      <x:c r="AD330" s="59" t="n">
        <x:v>15</x:v>
      </x:c>
      <x:c r="AE330" s="59" t="n">
        <x:v>15</x:v>
      </x:c>
      <x:c r="AF330" s="59" t="n">
        <x:v>10</x:v>
      </x:c>
      <x:c r="AG330" s="59" t="n">
        <x:v>10</x:v>
      </x:c>
      <x:c r="AH330" s="60" t="n">
        <x:v>100</x:v>
      </x:c>
    </x:row>
  </x:sheetData>
  <x:mergeCells>
    <x:mergeCell ref="A1:AH1"/>
  </x:mergeCells>
  <x:conditionalFormatting sqref="C3:C33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3:B330">
    <x:cfRule type="expression" dxfId="0" priority="2">
      <x:formula>LEFT(B3,2)="A1"</x:formula>
    </x:cfRule>
    <x:cfRule type="expression" dxfId="1" priority="3">
      <x:formula>LEFT(B3,2)="A2"</x:formula>
    </x:cfRule>
    <x:cfRule type="expression" dxfId="2" priority="4">
      <x:formula>LEFT(B3,1)="B"</x:formula>
    </x:cfRule>
    <x:cfRule type="expression" dxfId="3" priority="5">
      <x:formula>LEFT(B3,1)="C"</x:formula>
    </x:cfRule>
    <x:cfRule type="expression" dxfId="4" priority="6">
      <x:formula>LEFT(B3,1)="D"</x:formula>
    </x:cfRule>
  </x:conditionalFormatting>
  <x:conditionalFormatting sqref="T3:T330">
    <x:cfRule type="expression" dxfId="5" priority="7">
      <x:formula>T3="Pełny"</x:formula>
    </x:cfRule>
    <x:cfRule type="expression" dxfId="6" priority="8">
      <x:formula>T3="Częściowy"</x:formula>
    </x:cfRule>
    <x:cfRule type="expression" dxfId="7" priority="9">
      <x:formula>T3="Brak bezpośredniego kontaktu"</x:formula>
    </x:cfRule>
  </x:conditionalFormatting>
  <x:dataValidations count="2">
    <x:dataValidation type="list" sqref="U3:U330">
      <x:formula1>"Nowy,Do weryfikacji,Kontakt rozpoczęty,Rozmowa,Oferta wysłana,Follow-up,Wygrany,Przegrany,Wykluczony"</x:formula1>
    </x:dataValidation>
    <x:dataValidation type="list" sqref="V3:V330">
      <x:formula1>"BILLS — hurt@bills.pl,Do przydzielenia"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cc1bba5b534b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5" t="str">
        <x:v>Mapa kanału sprzedażowego: województwo × segment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4" customHeight="1">
      <x:c r="A3" s="20" t="str">
        <x:v>Województwo</x:v>
      </x:c>
      <x:c r="B3" s="21" t="str">
        <x:v>S1</x:v>
      </x:c>
      <x:c r="C3" s="21" t="str">
        <x:v>S2</x:v>
      </x:c>
      <x:c r="D3" s="21" t="str">
        <x:v>S3</x:v>
      </x:c>
      <x:c r="E3" s="21" t="str">
        <x:v>S4</x:v>
      </x:c>
      <x:c r="F3" s="21" t="str">
        <x:v>S5</x:v>
      </x:c>
      <x:c r="G3" s="21" t="str">
        <x:v>S6</x:v>
      </x:c>
      <x:c r="H3" s="21" t="str">
        <x:v>S7</x:v>
      </x:c>
      <x:c r="I3" s="21" t="str">
        <x:v>Razem</x:v>
      </x:c>
      <x:c r="J3" s="22" t="str">
        <x:v>A1+A2</x:v>
      </x:c>
    </x:row>
    <x:row r="4">
      <x:c r="A4" s="23" t="str">
        <x:v>Dolnośląskie</x:v>
      </x:c>
      <x:c r="B4" s="24" t="n">
        <x:f>COUNTIFS('Leady B2B'!$H$3:$H$330,$A4,'Leady B2B'!$F$3:$F$330,"S1 — RYO/MYO, gilzy i nabijarki")</x:f>
        <x:v>2</x:v>
      </x:c>
      <x:c r="C4" s="24" t="n">
        <x:f>COUNTIFS('Leady B2B'!$H$3:$H$330,$A4,'Leady B2B'!$F$3:$F$330,"S2 — Hurtownie tytoniowe/FMCG")</x:f>
        <x:v>5</x:v>
      </x:c>
      <x:c r="D4" s="24" t="n">
        <x:f>COUNTIFS('Leady B2B'!$H$3:$H$330,$A4,'Leady B2B'!$F$3:$F$330,"S3 — Akcesoria dla palaczy/headshop")</x:f>
        <x:v>2</x:v>
      </x:c>
      <x:c r="E4" s="24" t="n">
        <x:f>COUNTIFS('Leady B2B'!$H$3:$H$330,$A4,'Leady B2B'!$F$3:$F$330,"S4 — Vape/e-papierosy")</x:f>
        <x:v>3</x:v>
      </x:c>
      <x:c r="F4" s="24" t="n">
        <x:f>COUNTIFS('Leady B2B'!$H$3:$H$330,$A4,'Leady B2B'!$F$3:$F$330,"S5 — Cygara i trafiki premium")</x:f>
        <x:v>0</x:v>
      </x:c>
      <x:c r="G4" s="24" t="n">
        <x:f>COUNTIFS('Leady B2B'!$H$3:$H$330,$A4,'Leady B2B'!$F$3:$F$330,"S6 — Retail/e-commerce")</x:f>
        <x:v>0</x:v>
      </x:c>
      <x:c r="H4" s="24" t="n">
        <x:f>COUNTIFS('Leady B2B'!$H$3:$H$330,$A4,'Leady B2B'!$F$3:$F$330,"S7 — Pozostałe/niezweryfikowane")</x:f>
        <x:v>1</x:v>
      </x:c>
      <x:c r="I4" s="24" t="n">
        <x:f>SUM(B4:H4)</x:f>
        <x:v>13</x:v>
      </x:c>
      <x:c r="J4" s="25" t="n">
        <x:f>COUNTIFS('Leady B2B'!$H$3:$H$330,$A4,'Leady B2B'!$C$3:$C$330,"&gt;=72")</x:f>
        <x:v>2</x:v>
      </x:c>
    </x:row>
    <x:row r="5">
      <x:c r="A5" s="23" t="str">
        <x:v>Kujawsko-pomorskie</x:v>
      </x:c>
      <x:c r="B5" s="24" t="n">
        <x:f>COUNTIFS('Leady B2B'!$H$3:$H$330,$A5,'Leady B2B'!$F$3:$F$330,"S1 — RYO/MYO, gilzy i nabijarki")</x:f>
        <x:v>1</x:v>
      </x:c>
      <x:c r="C5" s="24" t="n">
        <x:f>COUNTIFS('Leady B2B'!$H$3:$H$330,$A5,'Leady B2B'!$F$3:$F$330,"S2 — Hurtownie tytoniowe/FMCG")</x:f>
        <x:v>3</x:v>
      </x:c>
      <x:c r="D5" s="24" t="n">
        <x:f>COUNTIFS('Leady B2B'!$H$3:$H$330,$A5,'Leady B2B'!$F$3:$F$330,"S3 — Akcesoria dla palaczy/headshop")</x:f>
        <x:v>6</x:v>
      </x:c>
      <x:c r="E5" s="24" t="n">
        <x:f>COUNTIFS('Leady B2B'!$H$3:$H$330,$A5,'Leady B2B'!$F$3:$F$330,"S4 — Vape/e-papierosy")</x:f>
        <x:v>1</x:v>
      </x:c>
      <x:c r="F5" s="24" t="n">
        <x:f>COUNTIFS('Leady B2B'!$H$3:$H$330,$A5,'Leady B2B'!$F$3:$F$330,"S5 — Cygara i trafiki premium")</x:f>
        <x:v>0</x:v>
      </x:c>
      <x:c r="G5" s="24" t="n">
        <x:f>COUNTIFS('Leady B2B'!$H$3:$H$330,$A5,'Leady B2B'!$F$3:$F$330,"S6 — Retail/e-commerce")</x:f>
        <x:v>0</x:v>
      </x:c>
      <x:c r="H5" s="24" t="n">
        <x:f>COUNTIFS('Leady B2B'!$H$3:$H$330,$A5,'Leady B2B'!$F$3:$F$330,"S7 — Pozostałe/niezweryfikowane")</x:f>
        <x:v>0</x:v>
      </x:c>
      <x:c r="I5" s="24" t="n">
        <x:f>SUM(B5:H5)</x:f>
        <x:v>11</x:v>
      </x:c>
      <x:c r="J5" s="25" t="n">
        <x:f>COUNTIFS('Leady B2B'!$H$3:$H$330,$A5,'Leady B2B'!$C$3:$C$330,"&gt;=72")</x:f>
        <x:v>2</x:v>
      </x:c>
    </x:row>
    <x:row r="6">
      <x:c r="A6" s="23" t="str">
        <x:v>Lubelskie</x:v>
      </x:c>
      <x:c r="B6" s="24" t="n">
        <x:f>COUNTIFS('Leady B2B'!$H$3:$H$330,$A6,'Leady B2B'!$F$3:$F$330,"S1 — RYO/MYO, gilzy i nabijarki")</x:f>
        <x:v>0</x:v>
      </x:c>
      <x:c r="C6" s="24" t="n">
        <x:f>COUNTIFS('Leady B2B'!$H$3:$H$330,$A6,'Leady B2B'!$F$3:$F$330,"S2 — Hurtownie tytoniowe/FMCG")</x:f>
        <x:v>8</x:v>
      </x:c>
      <x:c r="D6" s="24" t="n">
        <x:f>COUNTIFS('Leady B2B'!$H$3:$H$330,$A6,'Leady B2B'!$F$3:$F$330,"S3 — Akcesoria dla palaczy/headshop")</x:f>
        <x:v>2</x:v>
      </x:c>
      <x:c r="E6" s="24" t="n">
        <x:f>COUNTIFS('Leady B2B'!$H$3:$H$330,$A6,'Leady B2B'!$F$3:$F$330,"S4 — Vape/e-papierosy")</x:f>
        <x:v>1</x:v>
      </x:c>
      <x:c r="F6" s="24" t="n">
        <x:f>COUNTIFS('Leady B2B'!$H$3:$H$330,$A6,'Leady B2B'!$F$3:$F$330,"S5 — Cygara i trafiki premium")</x:f>
        <x:v>0</x:v>
      </x:c>
      <x:c r="G6" s="24" t="n">
        <x:f>COUNTIFS('Leady B2B'!$H$3:$H$330,$A6,'Leady B2B'!$F$3:$F$330,"S6 — Retail/e-commerce")</x:f>
        <x:v>0</x:v>
      </x:c>
      <x:c r="H6" s="24" t="n">
        <x:f>COUNTIFS('Leady B2B'!$H$3:$H$330,$A6,'Leady B2B'!$F$3:$F$330,"S7 — Pozostałe/niezweryfikowane")</x:f>
        <x:v>0</x:v>
      </x:c>
      <x:c r="I6" s="24" t="n">
        <x:f>SUM(B6:H6)</x:f>
        <x:v>11</x:v>
      </x:c>
      <x:c r="J6" s="25" t="n">
        <x:f>COUNTIFS('Leady B2B'!$H$3:$H$330,$A6,'Leady B2B'!$C$3:$C$330,"&gt;=72")</x:f>
        <x:v>2</x:v>
      </x:c>
    </x:row>
    <x:row r="7">
      <x:c r="A7" s="23" t="str">
        <x:v>Lubuskie</x:v>
      </x:c>
      <x:c r="B7" s="24" t="n">
        <x:f>COUNTIFS('Leady B2B'!$H$3:$H$330,$A7,'Leady B2B'!$F$3:$F$330,"S1 — RYO/MYO, gilzy i nabijarki")</x:f>
        <x:v>1</x:v>
      </x:c>
      <x:c r="C7" s="24" t="n">
        <x:f>COUNTIFS('Leady B2B'!$H$3:$H$330,$A7,'Leady B2B'!$F$3:$F$330,"S2 — Hurtownie tytoniowe/FMCG")</x:f>
        <x:v>3</x:v>
      </x:c>
      <x:c r="D7" s="24" t="n">
        <x:f>COUNTIFS('Leady B2B'!$H$3:$H$330,$A7,'Leady B2B'!$F$3:$F$330,"S3 — Akcesoria dla palaczy/headshop")</x:f>
        <x:v>1</x:v>
      </x:c>
      <x:c r="E7" s="24" t="n">
        <x:f>COUNTIFS('Leady B2B'!$H$3:$H$330,$A7,'Leady B2B'!$F$3:$F$330,"S4 — Vape/e-papierosy")</x:f>
        <x:v>0</x:v>
      </x:c>
      <x:c r="F7" s="24" t="n">
        <x:f>COUNTIFS('Leady B2B'!$H$3:$H$330,$A7,'Leady B2B'!$F$3:$F$330,"S5 — Cygara i trafiki premium")</x:f>
        <x:v>0</x:v>
      </x:c>
      <x:c r="G7" s="24" t="n">
        <x:f>COUNTIFS('Leady B2B'!$H$3:$H$330,$A7,'Leady B2B'!$F$3:$F$330,"S6 — Retail/e-commerce")</x:f>
        <x:v>0</x:v>
      </x:c>
      <x:c r="H7" s="24" t="n">
        <x:f>COUNTIFS('Leady B2B'!$H$3:$H$330,$A7,'Leady B2B'!$F$3:$F$330,"S7 — Pozostałe/niezweryfikowane")</x:f>
        <x:v>1</x:v>
      </x:c>
      <x:c r="I7" s="24" t="n">
        <x:f>SUM(B7:H7)</x:f>
        <x:v>6</x:v>
      </x:c>
      <x:c r="J7" s="25" t="n">
        <x:f>COUNTIFS('Leady B2B'!$H$3:$H$330,$A7,'Leady B2B'!$C$3:$C$330,"&gt;=72")</x:f>
        <x:v>2</x:v>
      </x:c>
    </x:row>
    <x:row r="8">
      <x:c r="A8" s="23" t="str">
        <x:v>Łódzkie</x:v>
      </x:c>
      <x:c r="B8" s="24" t="n">
        <x:f>COUNTIFS('Leady B2B'!$H$3:$H$330,$A8,'Leady B2B'!$F$3:$F$330,"S1 — RYO/MYO, gilzy i nabijarki")</x:f>
        <x:v>2</x:v>
      </x:c>
      <x:c r="C8" s="24" t="n">
        <x:f>COUNTIFS('Leady B2B'!$H$3:$H$330,$A8,'Leady B2B'!$F$3:$F$330,"S2 — Hurtownie tytoniowe/FMCG")</x:f>
        <x:v>6</x:v>
      </x:c>
      <x:c r="D8" s="24" t="n">
        <x:f>COUNTIFS('Leady B2B'!$H$3:$H$330,$A8,'Leady B2B'!$F$3:$F$330,"S3 — Akcesoria dla palaczy/headshop")</x:f>
        <x:v>0</x:v>
      </x:c>
      <x:c r="E8" s="24" t="n">
        <x:f>COUNTIFS('Leady B2B'!$H$3:$H$330,$A8,'Leady B2B'!$F$3:$F$330,"S4 — Vape/e-papierosy")</x:f>
        <x:v>1</x:v>
      </x:c>
      <x:c r="F8" s="24" t="n">
        <x:f>COUNTIFS('Leady B2B'!$H$3:$H$330,$A8,'Leady B2B'!$F$3:$F$330,"S5 — Cygara i trafiki premium")</x:f>
        <x:v>0</x:v>
      </x:c>
      <x:c r="G8" s="24" t="n">
        <x:f>COUNTIFS('Leady B2B'!$H$3:$H$330,$A8,'Leady B2B'!$F$3:$F$330,"S6 — Retail/e-commerce")</x:f>
        <x:v>0</x:v>
      </x:c>
      <x:c r="H8" s="24" t="n">
        <x:f>COUNTIFS('Leady B2B'!$H$3:$H$330,$A8,'Leady B2B'!$F$3:$F$330,"S7 — Pozostałe/niezweryfikowane")</x:f>
        <x:v>0</x:v>
      </x:c>
      <x:c r="I8" s="24" t="n">
        <x:f>SUM(B8:H8)</x:f>
        <x:v>9</x:v>
      </x:c>
      <x:c r="J8" s="25" t="n">
        <x:f>COUNTIFS('Leady B2B'!$H$3:$H$330,$A8,'Leady B2B'!$C$3:$C$330,"&gt;=72")</x:f>
        <x:v>2</x:v>
      </x:c>
    </x:row>
    <x:row r="9">
      <x:c r="A9" s="23" t="str">
        <x:v>Małopolskie</x:v>
      </x:c>
      <x:c r="B9" s="24" t="n">
        <x:f>COUNTIFS('Leady B2B'!$H$3:$H$330,$A9,'Leady B2B'!$F$3:$F$330,"S1 — RYO/MYO, gilzy i nabijarki")</x:f>
        <x:v>2</x:v>
      </x:c>
      <x:c r="C9" s="24" t="n">
        <x:f>COUNTIFS('Leady B2B'!$H$3:$H$330,$A9,'Leady B2B'!$F$3:$F$330,"S2 — Hurtownie tytoniowe/FMCG")</x:f>
        <x:v>4</x:v>
      </x:c>
      <x:c r="D9" s="24" t="n">
        <x:f>COUNTIFS('Leady B2B'!$H$3:$H$330,$A9,'Leady B2B'!$F$3:$F$330,"S3 — Akcesoria dla palaczy/headshop")</x:f>
        <x:v>7</x:v>
      </x:c>
      <x:c r="E9" s="24" t="n">
        <x:f>COUNTIFS('Leady B2B'!$H$3:$H$330,$A9,'Leady B2B'!$F$3:$F$330,"S4 — Vape/e-papierosy")</x:f>
        <x:v>2</x:v>
      </x:c>
      <x:c r="F9" s="24" t="n">
        <x:f>COUNTIFS('Leady B2B'!$H$3:$H$330,$A9,'Leady B2B'!$F$3:$F$330,"S5 — Cygara i trafiki premium")</x:f>
        <x:v>1</x:v>
      </x:c>
      <x:c r="G9" s="24" t="n">
        <x:f>COUNTIFS('Leady B2B'!$H$3:$H$330,$A9,'Leady B2B'!$F$3:$F$330,"S6 — Retail/e-commerce")</x:f>
        <x:v>0</x:v>
      </x:c>
      <x:c r="H9" s="24" t="n">
        <x:f>COUNTIFS('Leady B2B'!$H$3:$H$330,$A9,'Leady B2B'!$F$3:$F$330,"S7 — Pozostałe/niezweryfikowane")</x:f>
        <x:v>0</x:v>
      </x:c>
      <x:c r="I9" s="24" t="n">
        <x:f>SUM(B9:H9)</x:f>
        <x:v>16</x:v>
      </x:c>
      <x:c r="J9" s="25" t="n">
        <x:f>COUNTIFS('Leady B2B'!$H$3:$H$330,$A9,'Leady B2B'!$C$3:$C$330,"&gt;=72")</x:f>
        <x:v>3</x:v>
      </x:c>
    </x:row>
    <x:row r="10">
      <x:c r="A10" s="23" t="str">
        <x:v>Mazowieckie</x:v>
      </x:c>
      <x:c r="B10" s="24" t="n">
        <x:f>COUNTIFS('Leady B2B'!$H$3:$H$330,$A10,'Leady B2B'!$F$3:$F$330,"S1 — RYO/MYO, gilzy i nabijarki")</x:f>
        <x:v>5</x:v>
      </x:c>
      <x:c r="C10" s="24" t="n">
        <x:f>COUNTIFS('Leady B2B'!$H$3:$H$330,$A10,'Leady B2B'!$F$3:$F$330,"S2 — Hurtownie tytoniowe/FMCG")</x:f>
        <x:v>5</x:v>
      </x:c>
      <x:c r="D10" s="24" t="n">
        <x:f>COUNTIFS('Leady B2B'!$H$3:$H$330,$A10,'Leady B2B'!$F$3:$F$330,"S3 — Akcesoria dla palaczy/headshop")</x:f>
        <x:v>4</x:v>
      </x:c>
      <x:c r="E10" s="24" t="n">
        <x:f>COUNTIFS('Leady B2B'!$H$3:$H$330,$A10,'Leady B2B'!$F$3:$F$330,"S4 — Vape/e-papierosy")</x:f>
        <x:v>9</x:v>
      </x:c>
      <x:c r="F10" s="24" t="n">
        <x:f>COUNTIFS('Leady B2B'!$H$3:$H$330,$A10,'Leady B2B'!$F$3:$F$330,"S5 — Cygara i trafiki premium")</x:f>
        <x:v>2</x:v>
      </x:c>
      <x:c r="G10" s="24" t="n">
        <x:f>COUNTIFS('Leady B2B'!$H$3:$H$330,$A10,'Leady B2B'!$F$3:$F$330,"S6 — Retail/e-commerce")</x:f>
        <x:v>1</x:v>
      </x:c>
      <x:c r="H10" s="24" t="n">
        <x:f>COUNTIFS('Leady B2B'!$H$3:$H$330,$A10,'Leady B2B'!$F$3:$F$330,"S7 — Pozostałe/niezweryfikowane")</x:f>
        <x:v>1</x:v>
      </x:c>
      <x:c r="I10" s="24" t="n">
        <x:f>SUM(B10:H10)</x:f>
        <x:v>27</x:v>
      </x:c>
      <x:c r="J10" s="25" t="n">
        <x:f>COUNTIFS('Leady B2B'!$H$3:$H$330,$A10,'Leady B2B'!$C$3:$C$330,"&gt;=72")</x:f>
        <x:v>8</x:v>
      </x:c>
    </x:row>
    <x:row r="11">
      <x:c r="A11" s="23" t="str">
        <x:v>Opolskie</x:v>
      </x:c>
      <x:c r="B11" s="24" t="n">
        <x:f>COUNTIFS('Leady B2B'!$H$3:$H$330,$A11,'Leady B2B'!$F$3:$F$330,"S1 — RYO/MYO, gilzy i nabijarki")</x:f>
        <x:v>1</x:v>
      </x:c>
      <x:c r="C11" s="24" t="n">
        <x:f>COUNTIFS('Leady B2B'!$H$3:$H$330,$A11,'Leady B2B'!$F$3:$F$330,"S2 — Hurtownie tytoniowe/FMCG")</x:f>
        <x:v>3</x:v>
      </x:c>
      <x:c r="D11" s="24" t="n">
        <x:f>COUNTIFS('Leady B2B'!$H$3:$H$330,$A11,'Leady B2B'!$F$3:$F$330,"S3 — Akcesoria dla palaczy/headshop")</x:f>
        <x:v>4</x:v>
      </x:c>
      <x:c r="E11" s="24" t="n">
        <x:f>COUNTIFS('Leady B2B'!$H$3:$H$330,$A11,'Leady B2B'!$F$3:$F$330,"S4 — Vape/e-papierosy")</x:f>
        <x:v>6</x:v>
      </x:c>
      <x:c r="F11" s="24" t="n">
        <x:f>COUNTIFS('Leady B2B'!$H$3:$H$330,$A11,'Leady B2B'!$F$3:$F$330,"S5 — Cygara i trafiki premium")</x:f>
        <x:v>0</x:v>
      </x:c>
      <x:c r="G11" s="24" t="n">
        <x:f>COUNTIFS('Leady B2B'!$H$3:$H$330,$A11,'Leady B2B'!$F$3:$F$330,"S6 — Retail/e-commerce")</x:f>
        <x:v>0</x:v>
      </x:c>
      <x:c r="H11" s="24" t="n">
        <x:f>COUNTIFS('Leady B2B'!$H$3:$H$330,$A11,'Leady B2B'!$F$3:$F$330,"S7 — Pozostałe/niezweryfikowane")</x:f>
        <x:v>1</x:v>
      </x:c>
      <x:c r="I11" s="24" t="n">
        <x:f>SUM(B11:H11)</x:f>
        <x:v>15</x:v>
      </x:c>
      <x:c r="J11" s="25" t="n">
        <x:f>COUNTIFS('Leady B2B'!$H$3:$H$330,$A11,'Leady B2B'!$C$3:$C$330,"&gt;=72")</x:f>
        <x:v>2</x:v>
      </x:c>
    </x:row>
    <x:row r="12">
      <x:c r="A12" s="23" t="str">
        <x:v>Podkarpackie</x:v>
      </x:c>
      <x:c r="B12" s="24" t="n">
        <x:f>COUNTIFS('Leady B2B'!$H$3:$H$330,$A12,'Leady B2B'!$F$3:$F$330,"S1 — RYO/MYO, gilzy i nabijarki")</x:f>
        <x:v>0</x:v>
      </x:c>
      <x:c r="C12" s="24" t="n">
        <x:f>COUNTIFS('Leady B2B'!$H$3:$H$330,$A12,'Leady B2B'!$F$3:$F$330,"S2 — Hurtownie tytoniowe/FMCG")</x:f>
        <x:v>2</x:v>
      </x:c>
      <x:c r="D12" s="24" t="n">
        <x:f>COUNTIFS('Leady B2B'!$H$3:$H$330,$A12,'Leady B2B'!$F$3:$F$330,"S3 — Akcesoria dla palaczy/headshop")</x:f>
        <x:v>0</x:v>
      </x:c>
      <x:c r="E12" s="24" t="n">
        <x:f>COUNTIFS('Leady B2B'!$H$3:$H$330,$A12,'Leady B2B'!$F$3:$F$330,"S4 — Vape/e-papierosy")</x:f>
        <x:v>1</x:v>
      </x:c>
      <x:c r="F12" s="24" t="n">
        <x:f>COUNTIFS('Leady B2B'!$H$3:$H$330,$A12,'Leady B2B'!$F$3:$F$330,"S5 — Cygara i trafiki premium")</x:f>
        <x:v>0</x:v>
      </x:c>
      <x:c r="G12" s="24" t="n">
        <x:f>COUNTIFS('Leady B2B'!$H$3:$H$330,$A12,'Leady B2B'!$F$3:$F$330,"S6 — Retail/e-commerce")</x:f>
        <x:v>0</x:v>
      </x:c>
      <x:c r="H12" s="24" t="n">
        <x:f>COUNTIFS('Leady B2B'!$H$3:$H$330,$A12,'Leady B2B'!$F$3:$F$330,"S7 — Pozostałe/niezweryfikowane")</x:f>
        <x:v>0</x:v>
      </x:c>
      <x:c r="I12" s="24" t="n">
        <x:f>SUM(B12:H12)</x:f>
        <x:v>3</x:v>
      </x:c>
      <x:c r="J12" s="25" t="n">
        <x:f>COUNTIFS('Leady B2B'!$H$3:$H$330,$A12,'Leady B2B'!$C$3:$C$330,"&gt;=72")</x:f>
        <x:v>0</x:v>
      </x:c>
    </x:row>
    <x:row r="13">
      <x:c r="A13" s="23" t="str">
        <x:v>Podlaskie</x:v>
      </x:c>
      <x:c r="B13" s="24" t="n">
        <x:f>COUNTIFS('Leady B2B'!$H$3:$H$330,$A13,'Leady B2B'!$F$3:$F$330,"S1 — RYO/MYO, gilzy i nabijarki")</x:f>
        <x:v>0</x:v>
      </x:c>
      <x:c r="C13" s="24" t="n">
        <x:f>COUNTIFS('Leady B2B'!$H$3:$H$330,$A13,'Leady B2B'!$F$3:$F$330,"S2 — Hurtownie tytoniowe/FMCG")</x:f>
        <x:v>2</x:v>
      </x:c>
      <x:c r="D13" s="24" t="n">
        <x:f>COUNTIFS('Leady B2B'!$H$3:$H$330,$A13,'Leady B2B'!$F$3:$F$330,"S3 — Akcesoria dla palaczy/headshop")</x:f>
        <x:v>4</x:v>
      </x:c>
      <x:c r="E13" s="24" t="n">
        <x:f>COUNTIFS('Leady B2B'!$H$3:$H$330,$A13,'Leady B2B'!$F$3:$F$330,"S4 — Vape/e-papierosy")</x:f>
        <x:v>2</x:v>
      </x:c>
      <x:c r="F13" s="24" t="n">
        <x:f>COUNTIFS('Leady B2B'!$H$3:$H$330,$A13,'Leady B2B'!$F$3:$F$330,"S5 — Cygara i trafiki premium")</x:f>
        <x:v>0</x:v>
      </x:c>
      <x:c r="G13" s="24" t="n">
        <x:f>COUNTIFS('Leady B2B'!$H$3:$H$330,$A13,'Leady B2B'!$F$3:$F$330,"S6 — Retail/e-commerce")</x:f>
        <x:v>1</x:v>
      </x:c>
      <x:c r="H13" s="24" t="n">
        <x:f>COUNTIFS('Leady B2B'!$H$3:$H$330,$A13,'Leady B2B'!$F$3:$F$330,"S7 — Pozostałe/niezweryfikowane")</x:f>
        <x:v>0</x:v>
      </x:c>
      <x:c r="I13" s="24" t="n">
        <x:f>SUM(B13:H13)</x:f>
        <x:v>9</x:v>
      </x:c>
      <x:c r="J13" s="25" t="n">
        <x:f>COUNTIFS('Leady B2B'!$H$3:$H$330,$A13,'Leady B2B'!$C$3:$C$330,"&gt;=72")</x:f>
        <x:v>2</x:v>
      </x:c>
    </x:row>
    <x:row r="14">
      <x:c r="A14" s="23" t="str">
        <x:v>Pomorskie</x:v>
      </x:c>
      <x:c r="B14" s="24" t="n">
        <x:f>COUNTIFS('Leady B2B'!$H$3:$H$330,$A14,'Leady B2B'!$F$3:$F$330,"S1 — RYO/MYO, gilzy i nabijarki")</x:f>
        <x:v>4</x:v>
      </x:c>
      <x:c r="C14" s="24" t="n">
        <x:f>COUNTIFS('Leady B2B'!$H$3:$H$330,$A14,'Leady B2B'!$F$3:$F$330,"S2 — Hurtownie tytoniowe/FMCG")</x:f>
        <x:v>4</x:v>
      </x:c>
      <x:c r="D14" s="24" t="n">
        <x:f>COUNTIFS('Leady B2B'!$H$3:$H$330,$A14,'Leady B2B'!$F$3:$F$330,"S3 — Akcesoria dla palaczy/headshop")</x:f>
        <x:v>3</x:v>
      </x:c>
      <x:c r="E14" s="24" t="n">
        <x:f>COUNTIFS('Leady B2B'!$H$3:$H$330,$A14,'Leady B2B'!$F$3:$F$330,"S4 — Vape/e-papierosy")</x:f>
        <x:v>2</x:v>
      </x:c>
      <x:c r="F14" s="24" t="n">
        <x:f>COUNTIFS('Leady B2B'!$H$3:$H$330,$A14,'Leady B2B'!$F$3:$F$330,"S5 — Cygara i trafiki premium")</x:f>
        <x:v>0</x:v>
      </x:c>
      <x:c r="G14" s="24" t="n">
        <x:f>COUNTIFS('Leady B2B'!$H$3:$H$330,$A14,'Leady B2B'!$F$3:$F$330,"S6 — Retail/e-commerce")</x:f>
        <x:v>0</x:v>
      </x:c>
      <x:c r="H14" s="24" t="n">
        <x:f>COUNTIFS('Leady B2B'!$H$3:$H$330,$A14,'Leady B2B'!$F$3:$F$330,"S7 — Pozostałe/niezweryfikowane")</x:f>
        <x:v>1</x:v>
      </x:c>
      <x:c r="I14" s="24" t="n">
        <x:f>SUM(B14:H14)</x:f>
        <x:v>14</x:v>
      </x:c>
      <x:c r="J14" s="25" t="n">
        <x:f>COUNTIFS('Leady B2B'!$H$3:$H$330,$A14,'Leady B2B'!$C$3:$C$330,"&gt;=72")</x:f>
        <x:v>6</x:v>
      </x:c>
    </x:row>
    <x:row r="15">
      <x:c r="A15" s="23" t="str">
        <x:v>Śląskie</x:v>
      </x:c>
      <x:c r="B15" s="24" t="n">
        <x:f>COUNTIFS('Leady B2B'!$H$3:$H$330,$A15,'Leady B2B'!$F$3:$F$330,"S1 — RYO/MYO, gilzy i nabijarki")</x:f>
        <x:v>3</x:v>
      </x:c>
      <x:c r="C15" s="24" t="n">
        <x:f>COUNTIFS('Leady B2B'!$H$3:$H$330,$A15,'Leady B2B'!$F$3:$F$330,"S2 — Hurtownie tytoniowe/FMCG")</x:f>
        <x:v>3</x:v>
      </x:c>
      <x:c r="D15" s="24" t="n">
        <x:f>COUNTIFS('Leady B2B'!$H$3:$H$330,$A15,'Leady B2B'!$F$3:$F$330,"S3 — Akcesoria dla palaczy/headshop")</x:f>
        <x:v>3</x:v>
      </x:c>
      <x:c r="E15" s="24" t="n">
        <x:f>COUNTIFS('Leady B2B'!$H$3:$H$330,$A15,'Leady B2B'!$F$3:$F$330,"S4 — Vape/e-papierosy")</x:f>
        <x:v>3</x:v>
      </x:c>
      <x:c r="F15" s="24" t="n">
        <x:f>COUNTIFS('Leady B2B'!$H$3:$H$330,$A15,'Leady B2B'!$F$3:$F$330,"S5 — Cygara i trafiki premium")</x:f>
        <x:v>0</x:v>
      </x:c>
      <x:c r="G15" s="24" t="n">
        <x:f>COUNTIFS('Leady B2B'!$H$3:$H$330,$A15,'Leady B2B'!$F$3:$F$330,"S6 — Retail/e-commerce")</x:f>
        <x:v>1</x:v>
      </x:c>
      <x:c r="H15" s="24" t="n">
        <x:f>COUNTIFS('Leady B2B'!$H$3:$H$330,$A15,'Leady B2B'!$F$3:$F$330,"S7 — Pozostałe/niezweryfikowane")</x:f>
        <x:v>2</x:v>
      </x:c>
      <x:c r="I15" s="24" t="n">
        <x:f>SUM(B15:H15)</x:f>
        <x:v>15</x:v>
      </x:c>
      <x:c r="J15" s="25" t="n">
        <x:f>COUNTIFS('Leady B2B'!$H$3:$H$330,$A15,'Leady B2B'!$C$3:$C$330,"&gt;=72")</x:f>
        <x:v>3</x:v>
      </x:c>
    </x:row>
    <x:row r="16">
      <x:c r="A16" s="23" t="str">
        <x:v>Świętokrzyskie</x:v>
      </x:c>
      <x:c r="B16" s="24" t="n">
        <x:f>COUNTIFS('Leady B2B'!$H$3:$H$330,$A16,'Leady B2B'!$F$3:$F$330,"S1 — RYO/MYO, gilzy i nabijarki")</x:f>
        <x:v>1</x:v>
      </x:c>
      <x:c r="C16" s="24" t="n">
        <x:f>COUNTIFS('Leady B2B'!$H$3:$H$330,$A16,'Leady B2B'!$F$3:$F$330,"S2 — Hurtownie tytoniowe/FMCG")</x:f>
        <x:v>11</x:v>
      </x:c>
      <x:c r="D16" s="24" t="n">
        <x:f>COUNTIFS('Leady B2B'!$H$3:$H$330,$A16,'Leady B2B'!$F$3:$F$330,"S3 — Akcesoria dla palaczy/headshop")</x:f>
        <x:v>1</x:v>
      </x:c>
      <x:c r="E16" s="24" t="n">
        <x:f>COUNTIFS('Leady B2B'!$H$3:$H$330,$A16,'Leady B2B'!$F$3:$F$330,"S4 — Vape/e-papierosy")</x:f>
        <x:v>2</x:v>
      </x:c>
      <x:c r="F16" s="24" t="n">
        <x:f>COUNTIFS('Leady B2B'!$H$3:$H$330,$A16,'Leady B2B'!$F$3:$F$330,"S5 — Cygara i trafiki premium")</x:f>
        <x:v>1</x:v>
      </x:c>
      <x:c r="G16" s="24" t="n">
        <x:f>COUNTIFS('Leady B2B'!$H$3:$H$330,$A16,'Leady B2B'!$F$3:$F$330,"S6 — Retail/e-commerce")</x:f>
        <x:v>0</x:v>
      </x:c>
      <x:c r="H16" s="24" t="n">
        <x:f>COUNTIFS('Leady B2B'!$H$3:$H$330,$A16,'Leady B2B'!$F$3:$F$330,"S7 — Pozostałe/niezweryfikowane")</x:f>
        <x:v>0</x:v>
      </x:c>
      <x:c r="I16" s="24" t="n">
        <x:f>SUM(B16:H16)</x:f>
        <x:v>16</x:v>
      </x:c>
      <x:c r="J16" s="25" t="n">
        <x:f>COUNTIFS('Leady B2B'!$H$3:$H$330,$A16,'Leady B2B'!$C$3:$C$330,"&gt;=72")</x:f>
        <x:v>2</x:v>
      </x:c>
    </x:row>
    <x:row r="17">
      <x:c r="A17" s="23" t="str">
        <x:v>Warmińsko-mazurskie</x:v>
      </x:c>
      <x:c r="B17" s="24" t="n">
        <x:f>COUNTIFS('Leady B2B'!$H$3:$H$330,$A17,'Leady B2B'!$F$3:$F$330,"S1 — RYO/MYO, gilzy i nabijarki")</x:f>
        <x:v>0</x:v>
      </x:c>
      <x:c r="C17" s="24" t="n">
        <x:f>COUNTIFS('Leady B2B'!$H$3:$H$330,$A17,'Leady B2B'!$F$3:$F$330,"S2 — Hurtownie tytoniowe/FMCG")</x:f>
        <x:v>1</x:v>
      </x:c>
      <x:c r="D17" s="24" t="n">
        <x:f>COUNTIFS('Leady B2B'!$H$3:$H$330,$A17,'Leady B2B'!$F$3:$F$330,"S3 — Akcesoria dla palaczy/headshop")</x:f>
        <x:v>0</x:v>
      </x:c>
      <x:c r="E17" s="24" t="n">
        <x:f>COUNTIFS('Leady B2B'!$H$3:$H$330,$A17,'Leady B2B'!$F$3:$F$330,"S4 — Vape/e-papierosy")</x:f>
        <x:v>2</x:v>
      </x:c>
      <x:c r="F17" s="24" t="n">
        <x:f>COUNTIFS('Leady B2B'!$H$3:$H$330,$A17,'Leady B2B'!$F$3:$F$330,"S5 — Cygara i trafiki premium")</x:f>
        <x:v>0</x:v>
      </x:c>
      <x:c r="G17" s="24" t="n">
        <x:f>COUNTIFS('Leady B2B'!$H$3:$H$330,$A17,'Leady B2B'!$F$3:$F$330,"S6 — Retail/e-commerce")</x:f>
        <x:v>0</x:v>
      </x:c>
      <x:c r="H17" s="24" t="n">
        <x:f>COUNTIFS('Leady B2B'!$H$3:$H$330,$A17,'Leady B2B'!$F$3:$F$330,"S7 — Pozostałe/niezweryfikowane")</x:f>
        <x:v>0</x:v>
      </x:c>
      <x:c r="I17" s="24" t="n">
        <x:f>SUM(B17:H17)</x:f>
        <x:v>3</x:v>
      </x:c>
      <x:c r="J17" s="25" t="n">
        <x:f>COUNTIFS('Leady B2B'!$H$3:$H$330,$A17,'Leady B2B'!$C$3:$C$330,"&gt;=72")</x:f>
        <x:v>0</x:v>
      </x:c>
    </x:row>
    <x:row r="18">
      <x:c r="A18" s="23" t="str">
        <x:v>Wielkopolskie</x:v>
      </x:c>
      <x:c r="B18" s="24" t="n">
        <x:f>COUNTIFS('Leady B2B'!$H$3:$H$330,$A18,'Leady B2B'!$F$3:$F$330,"S1 — RYO/MYO, gilzy i nabijarki")</x:f>
        <x:v>2</x:v>
      </x:c>
      <x:c r="C18" s="24" t="n">
        <x:f>COUNTIFS('Leady B2B'!$H$3:$H$330,$A18,'Leady B2B'!$F$3:$F$330,"S2 — Hurtownie tytoniowe/FMCG")</x:f>
        <x:v>0</x:v>
      </x:c>
      <x:c r="D18" s="24" t="n">
        <x:f>COUNTIFS('Leady B2B'!$H$3:$H$330,$A18,'Leady B2B'!$F$3:$F$330,"S3 — Akcesoria dla palaczy/headshop")</x:f>
        <x:v>0</x:v>
      </x:c>
      <x:c r="E18" s="24" t="n">
        <x:f>COUNTIFS('Leady B2B'!$H$3:$H$330,$A18,'Leady B2B'!$F$3:$F$330,"S4 — Vape/e-papierosy")</x:f>
        <x:v>0</x:v>
      </x:c>
      <x:c r="F18" s="24" t="n">
        <x:f>COUNTIFS('Leady B2B'!$H$3:$H$330,$A18,'Leady B2B'!$F$3:$F$330,"S5 — Cygara i trafiki premium")</x:f>
        <x:v>0</x:v>
      </x:c>
      <x:c r="G18" s="24" t="n">
        <x:f>COUNTIFS('Leady B2B'!$H$3:$H$330,$A18,'Leady B2B'!$F$3:$F$330,"S6 — Retail/e-commerce")</x:f>
        <x:v>0</x:v>
      </x:c>
      <x:c r="H18" s="24" t="n">
        <x:f>COUNTIFS('Leady B2B'!$H$3:$H$330,$A18,'Leady B2B'!$F$3:$F$330,"S7 — Pozostałe/niezweryfikowane")</x:f>
        <x:v>0</x:v>
      </x:c>
      <x:c r="I18" s="24" t="n">
        <x:f>SUM(B18:H18)</x:f>
        <x:v>2</x:v>
      </x:c>
      <x:c r="J18" s="25" t="n">
        <x:f>COUNTIFS('Leady B2B'!$H$3:$H$330,$A18,'Leady B2B'!$C$3:$C$330,"&gt;=72")</x:f>
        <x:v>2</x:v>
      </x:c>
    </x:row>
    <x:row r="19">
      <x:c r="A19" s="23" t="str">
        <x:v>Zachodniopomorskie</x:v>
      </x:c>
      <x:c r="B19" s="24" t="n">
        <x:f>COUNTIFS('Leady B2B'!$H$3:$H$330,$A19,'Leady B2B'!$F$3:$F$330,"S1 — RYO/MYO, gilzy i nabijarki")</x:f>
        <x:v>2</x:v>
      </x:c>
      <x:c r="C19" s="24" t="n">
        <x:f>COUNTIFS('Leady B2B'!$H$3:$H$330,$A19,'Leady B2B'!$F$3:$F$330,"S2 — Hurtownie tytoniowe/FMCG")</x:f>
        <x:v>0</x:v>
      </x:c>
      <x:c r="D19" s="24" t="n">
        <x:f>COUNTIFS('Leady B2B'!$H$3:$H$330,$A19,'Leady B2B'!$F$3:$F$330,"S3 — Akcesoria dla palaczy/headshop")</x:f>
        <x:v>0</x:v>
      </x:c>
      <x:c r="E19" s="24" t="n">
        <x:f>COUNTIFS('Leady B2B'!$H$3:$H$330,$A19,'Leady B2B'!$F$3:$F$330,"S4 — Vape/e-papierosy")</x:f>
        <x:v>0</x:v>
      </x:c>
      <x:c r="F19" s="24" t="n">
        <x:f>COUNTIFS('Leady B2B'!$H$3:$H$330,$A19,'Leady B2B'!$F$3:$F$330,"S5 — Cygara i trafiki premium")</x:f>
        <x:v>0</x:v>
      </x:c>
      <x:c r="G19" s="24" t="n">
        <x:f>COUNTIFS('Leady B2B'!$H$3:$H$330,$A19,'Leady B2B'!$F$3:$F$330,"S6 — Retail/e-commerce")</x:f>
        <x:v>0</x:v>
      </x:c>
      <x:c r="H19" s="24" t="n">
        <x:f>COUNTIFS('Leady B2B'!$H$3:$H$330,$A19,'Leady B2B'!$F$3:$F$330,"S7 — Pozostałe/niezweryfikowane")</x:f>
        <x:v>0</x:v>
      </x:c>
      <x:c r="I19" s="24" t="n">
        <x:f>SUM(B19:H19)</x:f>
        <x:v>2</x:v>
      </x:c>
      <x:c r="J19" s="25" t="n">
        <x:f>COUNTIFS('Leady B2B'!$H$3:$H$330,$A19,'Leady B2B'!$C$3:$C$330,"&gt;=72")</x:f>
        <x:v>2</x:v>
      </x:c>
    </x:row>
    <x:row r="20">
      <x:c r="A20" s="23" t="str">
        <x:v>Ogólnopolska</x:v>
      </x:c>
      <x:c r="B20" s="24" t="n">
        <x:f>COUNTIFS('Leady B2B'!$H$3:$H$330,$A20,'Leady B2B'!$F$3:$F$330,"S1 — RYO/MYO, gilzy i nabijarki")</x:f>
        <x:v>22</x:v>
      </x:c>
      <x:c r="C20" s="24" t="n">
        <x:f>COUNTIFS('Leady B2B'!$H$3:$H$330,$A20,'Leady B2B'!$F$3:$F$330,"S2 — Hurtownie tytoniowe/FMCG")</x:f>
        <x:v>10</x:v>
      </x:c>
      <x:c r="D20" s="24" t="n">
        <x:f>COUNTIFS('Leady B2B'!$H$3:$H$330,$A20,'Leady B2B'!$F$3:$F$330,"S3 — Akcesoria dla palaczy/headshop")</x:f>
        <x:v>6</x:v>
      </x:c>
      <x:c r="E20" s="24" t="n">
        <x:f>COUNTIFS('Leady B2B'!$H$3:$H$330,$A20,'Leady B2B'!$F$3:$F$330,"S4 — Vape/e-papierosy")</x:f>
        <x:v>4</x:v>
      </x:c>
      <x:c r="F20" s="24" t="n">
        <x:f>COUNTIFS('Leady B2B'!$H$3:$H$330,$A20,'Leady B2B'!$F$3:$F$330,"S5 — Cygara i trafiki premium")</x:f>
        <x:v>0</x:v>
      </x:c>
      <x:c r="G20" s="24" t="n">
        <x:f>COUNTIFS('Leady B2B'!$H$3:$H$330,$A20,'Leady B2B'!$F$3:$F$330,"S6 — Retail/e-commerce")</x:f>
        <x:v>0</x:v>
      </x:c>
      <x:c r="H20" s="24" t="n">
        <x:f>COUNTIFS('Leady B2B'!$H$3:$H$330,$A20,'Leady B2B'!$F$3:$F$330,"S7 — Pozostałe/niezweryfikowane")</x:f>
        <x:v>0</x:v>
      </x:c>
      <x:c r="I20" s="24" t="n">
        <x:f>SUM(B20:H20)</x:f>
        <x:v>42</x:v>
      </x:c>
      <x:c r="J20" s="25" t="n">
        <x:f>COUNTIFS('Leady B2B'!$H$3:$H$330,$A20,'Leady B2B'!$C$3:$C$330,"&gt;=72")</x:f>
        <x:v>19</x:v>
      </x:c>
    </x:row>
    <x:row r="21">
      <x:c r="A21" s="26" t="str">
        <x:v>Nieustalony</x:v>
      </x:c>
      <x:c r="B21" s="27" t="n">
        <x:f>COUNTIFS('Leady B2B'!$H$3:$H$330,$A21,'Leady B2B'!$F$3:$F$330,"S1 — RYO/MYO, gilzy i nabijarki")</x:f>
        <x:v>34</x:v>
      </x:c>
      <x:c r="C21" s="27" t="n">
        <x:f>COUNTIFS('Leady B2B'!$H$3:$H$330,$A21,'Leady B2B'!$F$3:$F$330,"S2 — Hurtownie tytoniowe/FMCG")</x:f>
        <x:v>2</x:v>
      </x:c>
      <x:c r="D21" s="27" t="n">
        <x:f>COUNTIFS('Leady B2B'!$H$3:$H$330,$A21,'Leady B2B'!$F$3:$F$330,"S3 — Akcesoria dla palaczy/headshop")</x:f>
        <x:v>55</x:v>
      </x:c>
      <x:c r="E21" s="27" t="n">
        <x:f>COUNTIFS('Leady B2B'!$H$3:$H$330,$A21,'Leady B2B'!$F$3:$F$330,"S4 — Vape/e-papierosy")</x:f>
        <x:v>11</x:v>
      </x:c>
      <x:c r="F21" s="27" t="n">
        <x:f>COUNTIFS('Leady B2B'!$H$3:$H$330,$A21,'Leady B2B'!$F$3:$F$330,"S5 — Cygara i trafiki premium")</x:f>
        <x:v>3</x:v>
      </x:c>
      <x:c r="G21" s="27" t="n">
        <x:f>COUNTIFS('Leady B2B'!$H$3:$H$330,$A21,'Leady B2B'!$F$3:$F$330,"S6 — Retail/e-commerce")</x:f>
        <x:v>1</x:v>
      </x:c>
      <x:c r="H21" s="27" t="n">
        <x:f>COUNTIFS('Leady B2B'!$H$3:$H$330,$A21,'Leady B2B'!$F$3:$F$330,"S7 — Pozostałe/niezweryfikowane")</x:f>
        <x:v>8</x:v>
      </x:c>
      <x:c r="I21" s="27" t="n">
        <x:f>SUM(B21:H21)</x:f>
        <x:v>114</x:v>
      </x:c>
      <x:c r="J21" s="28" t="n">
        <x:f>COUNTIFS('Leady B2B'!$H$3:$H$330,$A21,'Leady B2B'!$C$3:$C$330,"&gt;=72")</x:f>
        <x:v>4</x:v>
      </x:c>
    </x:row>
  </x:sheetData>
  <x:mergeCells>
    <x:mergeCell ref="A1:J1"/>
  </x:mergeCells>
  <x:conditionalFormatting sqref="B4:H21">
    <x:cfRule type="colorScale" priority="1">
      <x:colorScale>
        <x:cfvo type="min"/>
        <x:cfvo type="percentile" val="50"/>
        <x:cfvo type="max"/>
        <x:color rgb="FFFFFFFF"/>
        <x:color rgb="FFFFF2CC"/>
        <x:color rgb="FFD9EAD3"/>
      </x:colorScale>
    </x:cfRule>
  </x:conditionalFormatting>
  <x:conditionalFormatting sqref="I4:J21">
    <x:cfRule type="dataBar" priority="2">
      <x:dataBar>
        <x:cfvo type="min"/>
        <x:cfvo type="max"/>
        <x:color rgb="FF2E5B88"/>
      </x:dataBar>
      <x:extLst>
        <x:ext xmlns:x14="http://schemas.microsoft.com/office/spreadsheetml/2009/9/main" uri="{B025F937-C7B1-47D3-B67F-A62EFF666E3E}">
          <x14:id>{C6D74429-6219-63D0-0052-24B530960597}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6D74429-6219-63D0-0052-24B530960597}">
            <x14:dataBar gradient="1">
              <x14:cfvo type="min"/>
              <x14:cfvo type="max"/>
              <x14:fillColor rgb="FF2E5B88"/>
            </x14:dataBar>
          </x14:cfRule>
          <xm:sqref>I4:J21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" hidden="0" customWidth="1"/>
    <x:col min="3" max="3" width="24" hidden="0" customWidth="1"/>
    <x:col min="4" max="4" width="34" hidden="0" customWidth="1"/>
    <x:col min="5" max="5" width="30" hidden="0" customWidth="1"/>
    <x:col min="6" max="6" width="20" hidden="0" customWidth="1"/>
    <x:col min="7" max="7" width="28" hidden="0" customWidth="1"/>
    <x:col min="8" max="8" width="28" hidden="0" customWidth="1"/>
    <x:col min="9" max="9" width="28" hidden="0" customWidth="1"/>
    <x:col min="10" max="10" width="18" hidden="0" customWidth="1"/>
    <x:col min="11" max="11" width="46" hidden="0" customWidth="1"/>
    <x:col min="12" max="12" width="18" hidden="0" customWidth="1"/>
    <x:col min="13" max="13" width="48" hidden="0" customWidth="1"/>
    <x:col min="14" max="14" width="48" hidden="0" customWidth="1"/>
  </x:cols>
  <x:sheetData>
    <x:row r="1">
      <x:c r="A1" s="5" t="str">
        <x:v>Leady wymagające uzupełnienia kontaktu lub weryfikacji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20" t="str">
        <x:v>Rank</x:v>
      </x:c>
      <x:c r="B2" s="21" t="str">
        <x:v>Score</x:v>
      </x:c>
      <x:c r="C2" s="21" t="str">
        <x:v>Priorytet</x:v>
      </x:c>
      <x:c r="D2" s="21" t="str">
        <x:v>Firma</x:v>
      </x:c>
      <x:c r="E2" s="21" t="str">
        <x:v>Segment</x:v>
      </x:c>
      <x:c r="F2" s="21" t="str">
        <x:v>Województwo</x:v>
      </x:c>
      <x:c r="G2" s="21" t="str">
        <x:v>Email</x:v>
      </x:c>
      <x:c r="H2" s="21" t="str">
        <x:v>Telefon</x:v>
      </x:c>
      <x:c r="I2" s="21" t="str">
        <x:v>WWW</x:v>
      </x:c>
      <x:c r="J2" s="21" t="str">
        <x:v>Brakujące pole</x:v>
      </x:c>
      <x:c r="K2" s="21" t="str">
        <x:v>Następny krok</x:v>
      </x:c>
      <x:c r="L2" s="21" t="str">
        <x:v>Status źródłowy</x:v>
      </x:c>
      <x:c r="M2" s="21" t="str">
        <x:v>Źródła</x:v>
      </x:c>
      <x:c r="N2" s="22" t="str">
        <x:v>Uwagi</x:v>
      </x:c>
    </x:row>
    <x:row r="3">
      <x:c r="A3" s="23" t="n">
        <x:v>26</x:v>
      </x:c>
      <x:c r="B3" s="24" t="n">
        <x:v>81</x:v>
      </x:c>
      <x:c r="C3" s="24" t="str">
        <x:v>A2 — kontakt w 7 dni</x:v>
      </x:c>
      <x:c r="D3" s="47" t="str">
        <x:v>Fortrade</x:v>
      </x:c>
      <x:c r="E3" s="47" t="str">
        <x:v>S1 — RYO/MYO, gilzy i nabijarki</x:v>
      </x:c>
      <x:c r="F3" s="47" t="str">
        <x:v>Ogólnopolska</x:v>
      </x:c>
      <x:c r="G3" s="47" t="str"/>
      <x:c r="H3" s="47" t="str"/>
      <x:c r="I3" s="47" t="str">
        <x:v>https://fortrade.pl</x:v>
      </x:c>
      <x:c r="J3" s="47" t="str">
        <x:v>email, telefon</x:v>
      </x:c>
      <x:c r="K3" s="47" t="str">
        <x:v>E-mail handlowy + telefon follow-up w ciągu 48 godzin</x:v>
      </x:c>
      <x:c r="L3" s="47" t="str">
        <x:v>Nowy</x:v>
      </x:c>
      <x:c r="M3" s="47" t="str">
        <x:v>https://fortrade.pl</x:v>
      </x:c>
      <x:c r="N3" s="95" t="str">
        <x:v>Nie potwierdzone | Status źródłowy: Dostępny w katalogu</x:v>
      </x:c>
    </x:row>
    <x:row r="4">
      <x:c r="A4" s="23" t="n">
        <x:v>27</x:v>
      </x:c>
      <x:c r="B4" s="24" t="n">
        <x:v>81</x:v>
      </x:c>
      <x:c r="C4" s="24" t="str">
        <x:v>A2 — kontakt w 7 dni</x:v>
      </x:c>
      <x:c r="D4" s="47" t="str">
        <x:v>Tobacco Concept Factory (TCF)</x:v>
      </x:c>
      <x:c r="E4" s="47" t="str">
        <x:v>S1 — RYO/MYO, gilzy i nabijarki</x:v>
      </x:c>
      <x:c r="F4" s="47" t="str">
        <x:v>Ogólnopolska</x:v>
      </x:c>
      <x:c r="G4" s="47" t="str"/>
      <x:c r="H4" s="47" t="str"/>
      <x:c r="I4" s="47" t="str">
        <x:v>https://tcf.com.pl</x:v>
      </x:c>
      <x:c r="J4" s="47" t="str">
        <x:v>email, telefon</x:v>
      </x:c>
      <x:c r="K4" s="47" t="str">
        <x:v>E-mail handlowy + telefon follow-up w ciągu 48 godzin</x:v>
      </x:c>
      <x:c r="L4" s="47" t="str">
        <x:v>Nowy</x:v>
      </x:c>
      <x:c r="M4" s="47" t="str">
        <x:v>https://tcf.com.pl</x:v>
      </x:c>
      <x:c r="N4" s="95" t="str">
        <x:v>Major B2B distributor of smoking accessories, tubes, filters, and papers.</x:v>
      </x:c>
    </x:row>
    <x:row r="5">
      <x:c r="A5" s="23" t="n">
        <x:v>28</x:v>
      </x:c>
      <x:c r="B5" s="24" t="n">
        <x:v>81</x:v>
      </x:c>
      <x:c r="C5" s="24" t="str">
        <x:v>A2 — kontakt w 7 dni</x:v>
      </x:c>
      <x:c r="D5" s="47" t="str">
        <x:v>PRODAP</x:v>
      </x:c>
      <x:c r="E5" s="47" t="str">
        <x:v>S1 — RYO/MYO, gilzy i nabijarki</x:v>
      </x:c>
      <x:c r="F5" s="47" t="str">
        <x:v>Ogólnopolska</x:v>
      </x:c>
      <x:c r="G5" s="47" t="str"/>
      <x:c r="H5" s="47" t="str"/>
      <x:c r="I5" s="47" t="str">
        <x:v>https://prodap.pl</x:v>
      </x:c>
      <x:c r="J5" s="47" t="str">
        <x:v>email, telefon</x:v>
      </x:c>
      <x:c r="K5" s="47" t="str">
        <x:v>E-mail handlowy + telefon follow-up w ciągu 48 godzin</x:v>
      </x:c>
      <x:c r="L5" s="47" t="str">
        <x:v>Nowy</x:v>
      </x:c>
      <x:c r="M5" s="47" t="str">
        <x:v>https://prodap.pl</x:v>
      </x:c>
      <x:c r="N5" s="95" t="str">
        <x:v>Major dedicated distributor specifically for Powermatic injectors and replacement parts.</x:v>
      </x:c>
    </x:row>
    <x:row r="6">
      <x:c r="A6" s="23" t="n">
        <x:v>30</x:v>
      </x:c>
      <x:c r="B6" s="24" t="n">
        <x:v>80</x:v>
      </x:c>
      <x:c r="C6" s="24" t="str">
        <x:v>A2 — kontakt w 7 dni</x:v>
      </x:c>
      <x:c r="D6" s="47" t="str">
        <x:v>Handel Hurtowy i Detaliczny, Beata Czyż w Radom</x:v>
      </x:c>
      <x:c r="E6" s="47" t="str">
        <x:v>S1 — RYO/MYO, gilzy i nabijarki</x:v>
      </x:c>
      <x:c r="F6" s="47" t="str">
        <x:v>Mazowieckie</x:v>
      </x:c>
      <x:c r="G6" s="47" t="str"/>
      <x:c r="H6" s="47" t="str">
        <x:v>+48 504 08-33-60</x:v>
      </x:c>
      <x:c r="I6" s="47" t="str">
        <x:v>38250-pl.all.biz</x:v>
      </x:c>
      <x:c r="J6" s="47" t="str">
        <x:v>email</x:v>
      </x:c>
      <x:c r="K6" s="47" t="str">
        <x:v>E-mail handlowy + telefon follow-up w ciągu 48 godzin</x:v>
      </x:c>
      <x:c r="L6" s="47" t="str">
        <x:v>Nowy</x:v>
      </x:c>
      <x:c r="M6" s="47" t="str">
        <x:v>38250-pl.all.biz</x:v>
      </x:c>
      <x:c r="N6" s="95" t="str">
        <x:v>Model: Detalista-Z-Hurtem. Asortyment: Gilzy papierosowe (Mr Tobacco, DREK, Dark Horse), nabijarki do gilz (Powermatic 1, Powermatic 2, OCB Mikromatic Duo), akcesoria dla palaczy. Info: Powermatic 1, Powermatic 2, OCB Mikromatic Duo | Status źródłowy: Aktywny</x:v>
      </x:c>
    </x:row>
    <x:row r="7">
      <x:c r="A7" s="23" t="n">
        <x:v>31</x:v>
      </x:c>
      <x:c r="B7" s="24" t="n">
        <x:v>80</x:v>
      </x:c>
      <x:c r="C7" s="24" t="str">
        <x:v>A2 — kontakt w 7 dni</x:v>
      </x:c>
      <x:c r="D7" s="47" t="str">
        <x:v>TwojePapierosy.pl</x:v>
      </x:c>
      <x:c r="E7" s="47" t="str">
        <x:v>S1 — RYO/MYO, gilzy i nabijarki</x:v>
      </x:c>
      <x:c r="F7" s="47" t="str">
        <x:v>Ogólnopolska</x:v>
      </x:c>
      <x:c r="G7" s="47" t="str"/>
      <x:c r="H7" s="47" t="str"/>
      <x:c r="I7" s="47" t="str">
        <x:v>https://twojepapierosy.pl</x:v>
      </x:c>
      <x:c r="J7" s="47" t="str">
        <x:v>email, telefon</x:v>
      </x:c>
      <x:c r="K7" s="47" t="str">
        <x:v>E-mail handlowy + telefon follow-up w ciągu 48 godzin</x:v>
      </x:c>
      <x:c r="L7" s="47" t="str">
        <x:v>Nowy</x:v>
      </x:c>
      <x:c r="M7" s="47" t="str">
        <x:v>https://twojepapierosy.pl</x:v>
      </x:c>
      <x:c r="N7" s="95" t="str">
        <x:v>TAK | Status źródłowy: Niezweryfikowany</x:v>
      </x:c>
    </x:row>
    <x:row r="8">
      <x:c r="A8" s="23" t="n">
        <x:v>32</x:v>
      </x:c>
      <x:c r="B8" s="24" t="n">
        <x:v>80</x:v>
      </x:c>
      <x:c r="C8" s="24" t="str">
        <x:v>A2 — kontakt w 7 dni</x:v>
      </x:c>
      <x:c r="D8" s="47" t="str">
        <x:v>Hurtownia Kaziool</x:v>
      </x:c>
      <x:c r="E8" s="47" t="str">
        <x:v>S1 — RYO/MYO, gilzy i nabijarki</x:v>
      </x:c>
      <x:c r="F8" s="47" t="str">
        <x:v>Ogólnopolska</x:v>
      </x:c>
      <x:c r="G8" s="47" t="str"/>
      <x:c r="H8" s="47" t="str"/>
      <x:c r="I8" s="47" t="str">
        <x:v>https://kaziool.pl</x:v>
      </x:c>
      <x:c r="J8" s="47" t="str">
        <x:v>email, telefon</x:v>
      </x:c>
      <x:c r="K8" s="47" t="str">
        <x:v>E-mail handlowy + telefon follow-up w ciągu 48 godzin</x:v>
      </x:c>
      <x:c r="L8" s="47" t="str">
        <x:v>Nowy</x:v>
      </x:c>
      <x:c r="M8" s="47" t="str">
        <x:v>https://kaziool.pl</x:v>
      </x:c>
      <x:c r="N8" s="95" t="str">
        <x:v>Nie potwierdzone | Status źródłowy: Aktywny</x:v>
      </x:c>
    </x:row>
    <x:row r="9">
      <x:c r="A9" s="23" t="n">
        <x:v>36</x:v>
      </x:c>
      <x:c r="B9" s="24" t="n">
        <x:v>78</x:v>
      </x:c>
      <x:c r="C9" s="24" t="str">
        <x:v>A2 — kontakt w 7 dni</x:v>
      </x:c>
      <x:c r="D9" s="47" t="str">
        <x:v>Wasserman</x:v>
      </x:c>
      <x:c r="E9" s="47" t="str">
        <x:v>S1 — RYO/MYO, gilzy i nabijarki</x:v>
      </x:c>
      <x:c r="F9" s="47" t="str">
        <x:v>Pomorskie</x:v>
      </x:c>
      <x:c r="G9" s="47" t="str">
        <x:v>sklep@wasserman.pl</x:v>
      </x:c>
      <x:c r="H9" s="47" t="str"/>
      <x:c r="I9" s="47" t="str">
        <x:v>https://www.wasserman.eu</x:v>
      </x:c>
      <x:c r="J9" s="47" t="str">
        <x:v>telefon</x:v>
      </x:c>
      <x:c r="K9" s="47" t="str">
        <x:v>E-mail handlowy + telefon follow-up w ciągu 48 godzin</x:v>
      </x:c>
      <x:c r="L9" s="47" t="str">
        <x:v>Nowy</x:v>
      </x:c>
      <x:c r="M9" s="47" t="str">
        <x:v>https://www.wasserman.eu</x:v>
      </x:c>
      <x:c r="N9" s="95" t="str">
        <x:v>Status źródłowy: Aktywny</x:v>
      </x:c>
    </x:row>
    <x:row r="10">
      <x:c r="A10" s="23" t="n">
        <x:v>37</x:v>
      </x:c>
      <x:c r="B10" s="24" t="n">
        <x:v>78</x:v>
      </x:c>
      <x:c r="C10" s="24" t="str">
        <x:v>A2 — kontakt w 7 dni</x:v>
      </x:c>
      <x:c r="D10" s="47" t="str">
        <x:v>Shishka79.pl</x:v>
      </x:c>
      <x:c r="E10" s="47" t="str">
        <x:v>S1 — RYO/MYO, gilzy i nabijarki</x:v>
      </x:c>
      <x:c r="F10" s="47" t="str">
        <x:v>Ogólnopolska</x:v>
      </x:c>
      <x:c r="G10" s="47" t="str"/>
      <x:c r="H10" s="47" t="str"/>
      <x:c r="I10" s="47" t="str">
        <x:v>https://www.shishka79.pl/180-nabijarki-tlokowe</x:v>
      </x:c>
      <x:c r="J10" s="47" t="str">
        <x:v>email, telefon</x:v>
      </x:c>
      <x:c r="K10" s="47" t="str">
        <x:v>E-mail handlowy + telefon follow-up w ciągu 48 godzin</x:v>
      </x:c>
      <x:c r="L10" s="47" t="str">
        <x:v>Nowy</x:v>
      </x:c>
      <x:c r="M10" s="47" t="str">
        <x:v>https://www.shishka79.pl/180-nabijarki-tlokowe</x:v>
      </x:c>
      <x:c r="N10" s="95" t="str">
        <x:v>Dodano z hurtownicy_pl_127.html; Asortyment: Piston injectors for cigarettes | Status źródłowy: Aktywny</x:v>
      </x:c>
    </x:row>
    <x:row r="11">
      <x:c r="A11" s="23" t="n">
        <x:v>38</x:v>
      </x:c>
      <x:c r="B11" s="24" t="n">
        <x:v>78</x:v>
      </x:c>
      <x:c r="C11" s="24" t="str">
        <x:v>A2 — kontakt w 7 dni</x:v>
      </x:c>
      <x:c r="D11" s="47" t="str">
        <x:v>P.H.U. TOP Sp.j. S. Magiera i wspólnicy / Silverado</x:v>
      </x:c>
      <x:c r="E11" s="47" t="str">
        <x:v>S1 — RYO/MYO, gilzy i nabijarki</x:v>
      </x:c>
      <x:c r="F11" s="47" t="str">
        <x:v>Dolnośląskie</x:v>
      </x:c>
      <x:c r="G11" s="47" t="str"/>
      <x:c r="H11" s="47" t="str"/>
      <x:c r="I11" s="47" t="str">
        <x:v>https://www.silverado-top.pl</x:v>
      </x:c>
      <x:c r="J11" s="47" t="str">
        <x:v>email, telefon</x:v>
      </x:c>
      <x:c r="K11" s="47" t="str">
        <x:v>E-mail handlowy + telefon follow-up w ciągu 48 godzin</x:v>
      </x:c>
      <x:c r="L11" s="47" t="str">
        <x:v>Nowy</x:v>
      </x:c>
      <x:c r="M11" s="47" t="str">
        <x:v>https://www.silverado-top.pl</x:v>
      </x:c>
      <x:c r="N11" s="95" t="str">
        <x:v>Przed kontaktem sprawdzić aktywność strony, dane rejestrowe i aktualną ofertę. | Status źródłowy: Do weryfikacji — źródło katalogowe</x:v>
      </x:c>
    </x:row>
    <x:row r="12">
      <x:c r="A12" s="23" t="n">
        <x:v>39</x:v>
      </x:c>
      <x:c r="B12" s="24" t="n">
        <x:v>78</x:v>
      </x:c>
      <x:c r="C12" s="24" t="str">
        <x:v>A2 — kontakt w 7 dni</x:v>
      </x:c>
      <x:c r="D12" s="47" t="str">
        <x:v>MARWIN POLSKA</x:v>
      </x:c>
      <x:c r="E12" s="47" t="str">
        <x:v>S1 — RYO/MYO, gilzy i nabijarki</x:v>
      </x:c>
      <x:c r="F12" s="47" t="str">
        <x:v>Małopolskie</x:v>
      </x:c>
      <x:c r="G12" s="47" t="str"/>
      <x:c r="H12" s="47" t="str"/>
      <x:c r="I12" s="47" t="str">
        <x:v>http://www.marwinpolska.pl</x:v>
      </x:c>
      <x:c r="J12" s="47" t="str">
        <x:v>email, telefon</x:v>
      </x:c>
      <x:c r="K12" s="47" t="str">
        <x:v>E-mail handlowy + telefon follow-up w ciągu 48 godzin</x:v>
      </x:c>
      <x:c r="L12" s="47" t="str">
        <x:v>Nowy</x:v>
      </x:c>
      <x:c r="M12" s="47" t="str">
        <x:v>http://www.marwinpolska.pl</x:v>
      </x:c>
      <x:c r="N12" s="95" t="str">
        <x:v>Warto zweryfikować, czy firma nadal prowadzi aktywną sprzedaż hurtową. | Status źródłowy: Do weryfikacji — źródło katalogowe</x:v>
      </x:c>
    </x:row>
    <x:row r="13">
      <x:c r="A13" s="23" t="n">
        <x:v>40</x:v>
      </x:c>
      <x:c r="B13" s="24" t="n">
        <x:v>77</x:v>
      </x:c>
      <x:c r="C13" s="24" t="str">
        <x:v>A2 — kontakt w 7 dni</x:v>
      </x:c>
      <x:c r="D13" s="47" t="str">
        <x:v>ROCH — Hurtownia Papierosów i Kart GSM</x:v>
      </x:c>
      <x:c r="E13" s="47" t="str">
        <x:v>S2 — Hurtownie tytoniowe/FMCG</x:v>
      </x:c>
      <x:c r="F13" s="47" t="str">
        <x:v>Małopolskie</x:v>
      </x:c>
      <x:c r="G13" s="47" t="str"/>
      <x:c r="H13" s="47" t="str">
        <x:v>+48 12 416 39 16</x:v>
      </x:c>
      <x:c r="I13" s="47" t="str">
        <x:v>https://roch.krakow.pl</x:v>
      </x:c>
      <x:c r="J13" s="47" t="str">
        <x:v>email</x:v>
      </x:c>
      <x:c r="K13" s="47" t="str">
        <x:v>E-mail handlowy + telefon follow-up w ciągu 48 godzin</x:v>
      </x:c>
      <x:c r="L13" s="47" t="str">
        <x:v>Nowy</x:v>
      </x:c>
      <x:c r="M13" s="47" t="str">
        <x:v>https://roch.krakow.pl</x:v>
      </x:c>
      <x:c r="N13" s="95" t="str">
        <x:v>Nie potwierdzone | Status źródłowy: Niezweryfikowany</x:v>
      </x:c>
    </x:row>
    <x:row r="14">
      <x:c r="A14" s="23" t="n">
        <x:v>41</x:v>
      </x:c>
      <x:c r="B14" s="24" t="n">
        <x:v>77</x:v>
      </x:c>
      <x:c r="C14" s="24" t="str">
        <x:v>A2 — kontakt w 7 dni</x:v>
      </x:c>
      <x:c r="D14" s="47" t="str">
        <x:v>Lubelskie Zakłady Tytoniowe (LZT)</x:v>
      </x:c>
      <x:c r="E14" s="47" t="str">
        <x:v>S2 — Hurtownie tytoniowe/FMCG</x:v>
      </x:c>
      <x:c r="F14" s="47" t="str">
        <x:v>Lubelskie</x:v>
      </x:c>
      <x:c r="G14" s="47" t="str"/>
      <x:c r="H14" s="47" t="str">
        <x:v>+48 789 477 907</x:v>
      </x:c>
      <x:c r="I14" s="47" t="str">
        <x:v>https://lubelskietytonie.pl</x:v>
      </x:c>
      <x:c r="J14" s="47" t="str">
        <x:v>email</x:v>
      </x:c>
      <x:c r="K14" s="47" t="str">
        <x:v>E-mail handlowy + telefon follow-up w ciągu 48 godzin</x:v>
      </x:c>
      <x:c r="L14" s="47" t="str">
        <x:v>Nowy</x:v>
      </x:c>
      <x:c r="M14" s="47" t="str">
        <x:v>https://lubelskietytonie.pl</x:v>
      </x:c>
      <x:c r="N14" s="95" t="str">
        <x:v>Nie potwierdzone | Status źródłowy: Niezweryfikowany</x:v>
      </x:c>
    </x:row>
    <x:row r="15">
      <x:c r="A15" s="23" t="n">
        <x:v>42</x:v>
      </x:c>
      <x:c r="B15" s="24" t="n">
        <x:v>77</x:v>
      </x:c>
      <x:c r="C15" s="24" t="str">
        <x:v>A2 — kontakt w 7 dni</x:v>
      </x:c>
      <x:c r="D15" s="47" t="str">
        <x:v>Carmen Sp. z o.o.</x:v>
      </x:c>
      <x:c r="E15" s="47" t="str">
        <x:v>S2 — Hurtownie tytoniowe/FMCG</x:v>
      </x:c>
      <x:c r="F15" s="47" t="str">
        <x:v>Śląskie</x:v>
      </x:c>
      <x:c r="G15" s="47" t="str"/>
      <x:c r="H15" s="47" t="str">
        <x:v>+48 33 817 24 00</x:v>
      </x:c>
      <x:c r="I15" s="47" t="str">
        <x:v>https://carmen-jasienica.pl</x:v>
      </x:c>
      <x:c r="J15" s="47" t="str">
        <x:v>email</x:v>
      </x:c>
      <x:c r="K15" s="47" t="str">
        <x:v>E-mail handlowy + telefon follow-up w ciągu 48 godzin</x:v>
      </x:c>
      <x:c r="L15" s="47" t="str">
        <x:v>Nowy</x:v>
      </x:c>
      <x:c r="M15" s="47" t="str">
        <x:v>https://carmen-jasienica.pl</x:v>
      </x:c>
      <x:c r="N15" s="95" t="str">
        <x:v>Nie potwierdzone | Status źródłowy: Niezweryfikowany</x:v>
      </x:c>
    </x:row>
    <x:row r="16">
      <x:c r="A16" s="23" t="n">
        <x:v>43</x:v>
      </x:c>
      <x:c r="B16" s="24" t="n">
        <x:v>75</x:v>
      </x:c>
      <x:c r="C16" s="24" t="str">
        <x:v>A2 — kontakt w 7 dni</x:v>
      </x:c>
      <x:c r="D16" s="47" t="str">
        <x:v>Gmochowski Jacek — Hurtownia art. tytoniowych</x:v>
      </x:c>
      <x:c r="E16" s="47" t="str">
        <x:v>S2 — Hurtownie tytoniowe/FMCG</x:v>
      </x:c>
      <x:c r="F16" s="47" t="str">
        <x:v>Ogólnopolska</x:v>
      </x:c>
      <x:c r="G16" s="47" t="str"/>
      <x:c r="H16" s="47" t="str"/>
      <x:c r="I16" s="47" t="str">
        <x:v>https://po-godzinach.pl/firmy/...</x:v>
      </x:c>
      <x:c r="J16" s="47" t="str">
        <x:v>email, telefon</x:v>
      </x:c>
      <x:c r="K16" s="47" t="str">
        <x:v>E-mail handlowy + telefon follow-up w ciągu 48 godzin</x:v>
      </x:c>
      <x:c r="L16" s="47" t="str">
        <x:v>Nowy</x:v>
      </x:c>
      <x:c r="M16" s="47" t="str">
        <x:v>https://po-godzinach.pl/firmy/...</x:v>
      </x:c>
      <x:c r="N16" s="95" t="str">
        <x:v>Nie potwierdzone | Status źródłowy: Niezweryfikowany</x:v>
      </x:c>
    </x:row>
    <x:row r="17">
      <x:c r="A17" s="23" t="n">
        <x:v>44</x:v>
      </x:c>
      <x:c r="B17" s="24" t="n">
        <x:v>75</x:v>
      </x:c>
      <x:c r="C17" s="24" t="str">
        <x:v>A2 — kontakt w 7 dni</x:v>
      </x:c>
      <x:c r="D17" s="47" t="str">
        <x:v>Augusto Limaro</x:v>
      </x:c>
      <x:c r="E17" s="47" t="str">
        <x:v>S2 — Hurtownie tytoniowe/FMCG</x:v>
      </x:c>
      <x:c r="F17" s="47" t="str">
        <x:v>Ogólnopolska</x:v>
      </x:c>
      <x:c r="G17" s="47" t="str"/>
      <x:c r="H17" s="47" t="str"/>
      <x:c r="I17" s="47" t="str">
        <x:v>https://augustolimaro.pl/o-nas</x:v>
      </x:c>
      <x:c r="J17" s="47" t="str">
        <x:v>email, telefon</x:v>
      </x:c>
      <x:c r="K17" s="47" t="str">
        <x:v>E-mail handlowy + telefon follow-up w ciągu 48 godzin</x:v>
      </x:c>
      <x:c r="L17" s="47" t="str">
        <x:v>Nowy</x:v>
      </x:c>
      <x:c r="M17" s="47" t="str">
        <x:v>https://augustolimaro.pl/o-nas</x:v>
      </x:c>
      <x:c r="N17" s="95" t="str">
        <x:v>Nie potwierdzone | Status źródłowy: Niezweryfikowany</x:v>
      </x:c>
    </x:row>
    <x:row r="18">
      <x:c r="A18" s="23" t="n">
        <x:v>45</x:v>
      </x:c>
      <x:c r="B18" s="24" t="n">
        <x:v>75</x:v>
      </x:c>
      <x:c r="C18" s="24" t="str">
        <x:v>A2 — kontakt w 7 dni</x:v>
      </x:c>
      <x:c r="D18" s="47" t="str">
        <x:v>MAGNUS</x:v>
      </x:c>
      <x:c r="E18" s="47" t="str">
        <x:v>S1 — RYO/MYO, gilzy i nabijarki</x:v>
      </x:c>
      <x:c r="F18" s="47" t="str">
        <x:v>Ogólnopolska</x:v>
      </x:c>
      <x:c r="G18" s="47" t="str"/>
      <x:c r="H18" s="47" t="str"/>
      <x:c r="I18" s="47" t="str">
        <x:v>https://magnustobacco.com</x:v>
      </x:c>
      <x:c r="J18" s="47" t="str">
        <x:v>email, telefon</x:v>
      </x:c>
      <x:c r="K18" s="47" t="str">
        <x:v>Rozmowa strategiczna z dyrektorem handlowym; bez standardowego cold maila</x:v>
      </x:c>
      <x:c r="L18" s="47" t="str">
        <x:v>Nowy</x:v>
      </x:c>
      <x:c r="M18" s="47" t="str">
        <x:v>https://magnustobacco.com</x:v>
      </x:c>
      <x:c r="N18" s="95" t="str">
        <x:v>Producer of cigarette tubes, including Private Label manufacturing for B2B.</x:v>
      </x:c>
    </x:row>
    <x:row r="19">
      <x:c r="A19" s="23" t="n">
        <x:v>46</x:v>
      </x:c>
      <x:c r="B19" s="24" t="n">
        <x:v>75</x:v>
      </x:c>
      <x:c r="C19" s="24" t="str">
        <x:v>A2 — kontakt w 7 dni</x:v>
      </x:c>
      <x:c r="D19" s="47" t="str">
        <x:v>JOKO Hurtownia M. Cukrowska</x:v>
      </x:c>
      <x:c r="E19" s="47" t="str">
        <x:v>S1 — RYO/MYO, gilzy i nabijarki</x:v>
      </x:c>
      <x:c r="F19" s="47" t="str">
        <x:v>Świętokrzyskie</x:v>
      </x:c>
      <x:c r="G19" s="47" t="str"/>
      <x:c r="H19" s="47" t="str"/>
      <x:c r="I19" s="47" t="str"/>
      <x:c r="J19" s="47" t="str">
        <x:v>email, telefon, WWW</x:v>
      </x:c>
      <x:c r="K19" s="47" t="str">
        <x:v>E-mail handlowy + telefon follow-up w ciągu 48 godzin</x:v>
      </x:c>
      <x:c r="L19" s="47" t="str">
        <x:v>Nowy</x:v>
      </x:c>
      <x:c r="M19" s="47" t="str"/>
      <x:c r="N19" s="95" t="str">
        <x:v>Zweryfikować aktywność, NIP i dostępność akcesoriów RYO. | Status źródłowy: Do weryfikacji — katalog</x:v>
      </x:c>
    </x:row>
    <x:row r="20">
      <x:c r="A20" s="23" t="n">
        <x:v>50</x:v>
      </x:c>
      <x:c r="B20" s="24" t="n">
        <x:v>73</x:v>
      </x:c>
      <x:c r="C20" s="24" t="str">
        <x:v>A2 — kontakt w 7 dni</x:v>
      </x:c>
      <x:c r="D20" s="47" t="str">
        <x:v>Hurtownia Papierosów Jacek</x:v>
      </x:c>
      <x:c r="E20" s="47" t="str">
        <x:v>S3 — Akcesoria dla palaczy/headshop</x:v>
      </x:c>
      <x:c r="F20" s="47" t="str">
        <x:v>Pomorskie</x:v>
      </x:c>
      <x:c r="G20" s="47" t="str"/>
      <x:c r="H20" s="47" t="str">
        <x:v>+48 58 620 70 55</x:v>
      </x:c>
      <x:c r="I20" s="47" t="str">
        <x:v>https://hpjacek.pl</x:v>
      </x:c>
      <x:c r="J20" s="47" t="str">
        <x:v>email</x:v>
      </x:c>
      <x:c r="K20" s="47" t="str">
        <x:v>E-mail handlowy + telefon follow-up w ciągu 48 godzin</x:v>
      </x:c>
      <x:c r="L20" s="47" t="str">
        <x:v>Nowy</x:v>
      </x:c>
      <x:c r="M20" s="47" t="str">
        <x:v>https://hpjacek.pl</x:v>
      </x:c>
      <x:c r="N20" s="95" t="str">
        <x:v>Nie potwierdzone | Status źródłowy: Niezweryfikowany</x:v>
      </x:c>
    </x:row>
    <x:row r="21">
      <x:c r="A21" s="23" t="n">
        <x:v>51</x:v>
      </x:c>
      <x:c r="B21" s="24" t="n">
        <x:v>73</x:v>
      </x:c>
      <x:c r="C21" s="24" t="str">
        <x:v>A2 — kontakt w 7 dni</x:v>
      </x:c>
      <x:c r="D21" s="47" t="str">
        <x:v>Almark</x:v>
      </x:c>
      <x:c r="E21" s="47" t="str">
        <x:v>S3 — Akcesoria dla palaczy/headshop</x:v>
      </x:c>
      <x:c r="F21" s="47" t="str">
        <x:v>Opolskie</x:v>
      </x:c>
      <x:c r="G21" s="47" t="str"/>
      <x:c r="H21" s="47" t="str">
        <x:v>+48 724 282 272</x:v>
      </x:c>
      <x:c r="I21" s="47" t="str">
        <x:v>https://almark.pl/index.php/of...</x:v>
      </x:c>
      <x:c r="J21" s="47" t="str">
        <x:v>email</x:v>
      </x:c>
      <x:c r="K21" s="47" t="str">
        <x:v>E-mail handlowy + telefon follow-up w ciągu 48 godzin</x:v>
      </x:c>
      <x:c r="L21" s="47" t="str">
        <x:v>Nowy</x:v>
      </x:c>
      <x:c r="M21" s="47" t="str">
        <x:v>https://almark.pl/index.php/of...</x:v>
      </x:c>
      <x:c r="N21" s="95" t="str">
        <x:v>Status źródłowy: Niezweryfikowany</x:v>
      </x:c>
    </x:row>
    <x:row r="22">
      <x:c r="A22" s="23" t="n">
        <x:v>54</x:v>
      </x:c>
      <x:c r="B22" s="24" t="n">
        <x:v>72</x:v>
      </x:c>
      <x:c r="C22" s="24" t="str">
        <x:v>A2 — kontakt w 7 dni</x:v>
      </x:c>
      <x:c r="D22" s="47" t="str">
        <x:v>Verk Store</x:v>
      </x:c>
      <x:c r="E22" s="47" t="str">
        <x:v>S1 — RYO/MYO, gilzy i nabijarki</x:v>
      </x:c>
      <x:c r="F22" s="47" t="str">
        <x:v>Nieustalony</x:v>
      </x:c>
      <x:c r="G22" s="47" t="str"/>
      <x:c r="H22" s="47" t="str"/>
      <x:c r="I22" s="47" t="str">
        <x:v>https://verk.store</x:v>
      </x:c>
      <x:c r="J22" s="47" t="str">
        <x:v>email, telefon</x:v>
      </x:c>
      <x:c r="K22" s="47" t="str">
        <x:v>E-mail handlowy + telefon follow-up w ciągu 48 godzin</x:v>
      </x:c>
      <x:c r="L22" s="47" t="str">
        <x:v>Nowy</x:v>
      </x:c>
      <x:c r="M22" s="47" t="str">
        <x:v>https://verk.store</x:v>
      </x:c>
      <x:c r="N22" s="95" t="str">
        <x:v>Status źródłowy: Aktywny</x:v>
      </x:c>
    </x:row>
    <x:row r="23">
      <x:c r="A23" s="23" t="n">
        <x:v>55</x:v>
      </x:c>
      <x:c r="B23" s="24" t="n">
        <x:v>72</x:v>
      </x:c>
      <x:c r="C23" s="24" t="str">
        <x:v>A2 — kontakt w 7 dni</x:v>
      </x:c>
      <x:c r="D23" s="47" t="str">
        <x:v>Shisha Sklep</x:v>
      </x:c>
      <x:c r="E23" s="47" t="str">
        <x:v>S1 — RYO/MYO, gilzy i nabijarki</x:v>
      </x:c>
      <x:c r="F23" s="47" t="str">
        <x:v>Nieustalony</x:v>
      </x:c>
      <x:c r="G23" s="47" t="str"/>
      <x:c r="H23" s="47" t="str"/>
      <x:c r="I23" s="47" t="str">
        <x:v>https://shishasklep.pl</x:v>
      </x:c>
      <x:c r="J23" s="47" t="str">
        <x:v>email, telefon</x:v>
      </x:c>
      <x:c r="K23" s="47" t="str">
        <x:v>E-mail handlowy + telefon follow-up w ciągu 48 godzin</x:v>
      </x:c>
      <x:c r="L23" s="47" t="str">
        <x:v>Nowy</x:v>
      </x:c>
      <x:c r="M23" s="47" t="str">
        <x:v>https://shishasklep.pl</x:v>
      </x:c>
      <x:c r="N23" s="95" t="str">
        <x:v>Status źródłowy: Aktywny</x:v>
      </x:c>
    </x:row>
    <x:row r="24">
      <x:c r="A24" s="23" t="n">
        <x:v>56</x:v>
      </x:c>
      <x:c r="B24" s="24" t="n">
        <x:v>72</x:v>
      </x:c>
      <x:c r="C24" s="24" t="str">
        <x:v>A2 — kontakt w 7 dni</x:v>
      </x:c>
      <x:c r="D24" s="47" t="str">
        <x:v>Alisa.shop</x:v>
      </x:c>
      <x:c r="E24" s="47" t="str">
        <x:v>S1 — RYO/MYO, gilzy i nabijarki</x:v>
      </x:c>
      <x:c r="F24" s="47" t="str">
        <x:v>Nieustalony</x:v>
      </x:c>
      <x:c r="G24" s="47" t="str"/>
      <x:c r="H24" s="47" t="str"/>
      <x:c r="I24" s="47" t="str">
        <x:v>https://alisa.shop</x:v>
      </x:c>
      <x:c r="J24" s="47" t="str">
        <x:v>email, telefon</x:v>
      </x:c>
      <x:c r="K24" s="47" t="str">
        <x:v>E-mail handlowy + telefon follow-up w ciągu 48 godzin</x:v>
      </x:c>
      <x:c r="L24" s="47" t="str">
        <x:v>Nowy</x:v>
      </x:c>
      <x:c r="M24" s="47" t="str">
        <x:v>https://alisa.shop</x:v>
      </x:c>
      <x:c r="N24" s="95" t="str">
        <x:v>Status źródłowy: Aktywny</x:v>
      </x:c>
    </x:row>
    <x:row r="25">
      <x:c r="A25" s="23" t="n">
        <x:v>57</x:v>
      </x:c>
      <x:c r="B25" s="24" t="n">
        <x:v>72</x:v>
      </x:c>
      <x:c r="C25" s="24" t="str">
        <x:v>A2 — kontakt w 7 dni</x:v>
      </x:c>
      <x:c r="D25" s="47" t="str">
        <x:v>PHU Andrzej...</x:v>
      </x:c>
      <x:c r="E25" s="47" t="str">
        <x:v>S2 — Hurtownie tytoniowe/FMCG</x:v>
      </x:c>
      <x:c r="F25" s="47" t="str">
        <x:v>Ogólnopolska</x:v>
      </x:c>
      <x:c r="G25" s="47" t="str"/>
      <x:c r="H25" s="47" t="str"/>
      <x:c r="I25" s="47" t="str"/>
      <x:c r="J25" s="47" t="str">
        <x:v>email, telefon, WWW</x:v>
      </x:c>
      <x:c r="K25" s="47" t="str">
        <x:v>E-mail handlowy + telefon follow-up w ciągu 48 godzin</x:v>
      </x:c>
      <x:c r="L25" s="47" t="str">
        <x:v>Nowy</x:v>
      </x:c>
      <x:c r="M25" s="47" t="str"/>
      <x:c r="N25" s="95" t="str">
        <x:v>Nie potwierdzone | Status źródłowy: Niezweryfikowany</x:v>
      </x:c>
    </x:row>
    <x:row r="26">
      <x:c r="A26" s="23" t="n">
        <x:v>58</x:v>
      </x:c>
      <x:c r="B26" s="24" t="n">
        <x:v>72</x:v>
      </x:c>
      <x:c r="C26" s="24" t="str">
        <x:v>A2 — kontakt w 7 dni</x:v>
      </x:c>
      <x:c r="D26" s="47" t="str">
        <x:v>Noban Sp. z o.o.</x:v>
      </x:c>
      <x:c r="E26" s="47" t="str">
        <x:v>S2 — Hurtownie tytoniowe/FMCG</x:v>
      </x:c>
      <x:c r="F26" s="47" t="str">
        <x:v>Ogólnopolska</x:v>
      </x:c>
      <x:c r="G26" s="47" t="str"/>
      <x:c r="H26" s="47" t="str"/>
      <x:c r="I26" s="47" t="str"/>
      <x:c r="J26" s="47" t="str">
        <x:v>email, telefon, WWW</x:v>
      </x:c>
      <x:c r="K26" s="47" t="str">
        <x:v>E-mail handlowy + telefon follow-up w ciągu 48 godzin</x:v>
      </x:c>
      <x:c r="L26" s="47" t="str">
        <x:v>Nowy</x:v>
      </x:c>
      <x:c r="M26" s="47" t="str"/>
      <x:c r="N26" s="95" t="str">
        <x:v>Nie potwierdzone | Status źródłowy: Niezweryfikowany</x:v>
      </x:c>
    </x:row>
    <x:row r="27">
      <x:c r="A27" s="23" t="n">
        <x:v>59</x:v>
      </x:c>
      <x:c r="B27" s="24" t="n">
        <x:v>72</x:v>
      </x:c>
      <x:c r="C27" s="24" t="str">
        <x:v>A2 — kontakt w 7 dni</x:v>
      </x:c>
      <x:c r="D27" s="47" t="str">
        <x:v>Fhu Patryk Koksztys</x:v>
      </x:c>
      <x:c r="E27" s="47" t="str">
        <x:v>S2 — Hurtownie tytoniowe/FMCG</x:v>
      </x:c>
      <x:c r="F27" s="47" t="str">
        <x:v>Ogólnopolska</x:v>
      </x:c>
      <x:c r="G27" s="47" t="str"/>
      <x:c r="H27" s="47" t="str"/>
      <x:c r="I27" s="47" t="str"/>
      <x:c r="J27" s="47" t="str">
        <x:v>email, telefon, WWW</x:v>
      </x:c>
      <x:c r="K27" s="47" t="str">
        <x:v>E-mail handlowy + telefon follow-up w ciągu 48 godzin</x:v>
      </x:c>
      <x:c r="L27" s="47" t="str">
        <x:v>Nowy</x:v>
      </x:c>
      <x:c r="M27" s="47" t="str"/>
      <x:c r="N27" s="95" t="str">
        <x:v>Nie potwierdzone | Status źródłowy: Niezweryfikowany</x:v>
      </x:c>
    </x:row>
    <x:row r="28">
      <x:c r="A28" s="23" t="n">
        <x:v>60</x:v>
      </x:c>
      <x:c r="B28" s="24" t="n">
        <x:v>72</x:v>
      </x:c>
      <x:c r="C28" s="24" t="str">
        <x:v>A2 — kontakt w 7 dni</x:v>
      </x:c>
      <x:c r="D28" s="47" t="str">
        <x:v>Beata Hurtownia Papierosów</x:v>
      </x:c>
      <x:c r="E28" s="47" t="str">
        <x:v>S2 — Hurtownie tytoniowe/FMCG</x:v>
      </x:c>
      <x:c r="F28" s="47" t="str">
        <x:v>Ogólnopolska</x:v>
      </x:c>
      <x:c r="G28" s="47" t="str"/>
      <x:c r="H28" s="47" t="str"/>
      <x:c r="I28" s="47" t="str"/>
      <x:c r="J28" s="47" t="str">
        <x:v>email, telefon, WWW</x:v>
      </x:c>
      <x:c r="K28" s="47" t="str">
        <x:v>E-mail handlowy + telefon follow-up w ciągu 48 godzin</x:v>
      </x:c>
      <x:c r="L28" s="47" t="str">
        <x:v>Nowy</x:v>
      </x:c>
      <x:c r="M28" s="47" t="str"/>
      <x:c r="N28" s="95" t="str">
        <x:v>Nie potwierdzone | Status źródłowy: Niezweryfikowany</x:v>
      </x:c>
    </x:row>
    <x:row r="29">
      <x:c r="A29" s="23" t="n">
        <x:v>61</x:v>
      </x:c>
      <x:c r="B29" s="24" t="n">
        <x:v>72</x:v>
      </x:c>
      <x:c r="C29" s="24" t="str">
        <x:v>A2 — kontakt w 7 dni</x:v>
      </x:c>
      <x:c r="D29" s="47" t="str">
        <x:v>"Maxim" FH Beata Kropielnicka</x:v>
      </x:c>
      <x:c r="E29" s="47" t="str">
        <x:v>S2 — Hurtownie tytoniowe/FMCG</x:v>
      </x:c>
      <x:c r="F29" s="47" t="str">
        <x:v>Ogólnopolska</x:v>
      </x:c>
      <x:c r="G29" s="47" t="str"/>
      <x:c r="H29" s="47" t="str"/>
      <x:c r="I29" s="47" t="str"/>
      <x:c r="J29" s="47" t="str">
        <x:v>email, telefon, WWW</x:v>
      </x:c>
      <x:c r="K29" s="47" t="str">
        <x:v>E-mail handlowy + telefon follow-up w ciągu 48 godzin</x:v>
      </x:c>
      <x:c r="L29" s="47" t="str">
        <x:v>Nowy</x:v>
      </x:c>
      <x:c r="M29" s="47" t="str"/>
      <x:c r="N29" s="95" t="str">
        <x:v>Nie potwierdzone | Status źródłowy: Niezweryfikowany</x:v>
      </x:c>
    </x:row>
    <x:row r="30">
      <x:c r="A30" s="23" t="n">
        <x:v>62</x:v>
      </x:c>
      <x:c r="B30" s="24" t="n">
        <x:v>72</x:v>
      </x:c>
      <x:c r="C30" s="24" t="str">
        <x:v>A2 — kontakt w 7 dni</x:v>
      </x:c>
      <x:c r="D30" s="47" t="str">
        <x:v>"Casiss"</x:v>
      </x:c>
      <x:c r="E30" s="47" t="str">
        <x:v>S2 — Hurtownie tytoniowe/FMCG</x:v>
      </x:c>
      <x:c r="F30" s="47" t="str">
        <x:v>Ogólnopolska</x:v>
      </x:c>
      <x:c r="G30" s="47" t="str"/>
      <x:c r="H30" s="47" t="str"/>
      <x:c r="I30" s="47" t="str"/>
      <x:c r="J30" s="47" t="str">
        <x:v>email, telefon, WWW</x:v>
      </x:c>
      <x:c r="K30" s="47" t="str">
        <x:v>E-mail handlowy + telefon follow-up w ciągu 48 godzin</x:v>
      </x:c>
      <x:c r="L30" s="47" t="str">
        <x:v>Nowy</x:v>
      </x:c>
      <x:c r="M30" s="47" t="str"/>
      <x:c r="N30" s="95" t="str">
        <x:v>Nie potwierdzone | Status źródłowy: Niezweryfikowany</x:v>
      </x:c>
    </x:row>
    <x:row r="31">
      <x:c r="A31" s="23" t="n">
        <x:v>63</x:v>
      </x:c>
      <x:c r="B31" s="24" t="n">
        <x:v>72</x:v>
      </x:c>
      <x:c r="C31" s="24" t="str">
        <x:v>A2 — kontakt w 7 dni</x:v>
      </x:c>
      <x:c r="D31" s="47" t="str">
        <x:v>"Ampex" S.C.</x:v>
      </x:c>
      <x:c r="E31" s="47" t="str">
        <x:v>S2 — Hurtownie tytoniowe/FMCG</x:v>
      </x:c>
      <x:c r="F31" s="47" t="str">
        <x:v>Ogólnopolska</x:v>
      </x:c>
      <x:c r="G31" s="47" t="str"/>
      <x:c r="H31" s="47" t="str"/>
      <x:c r="I31" s="47" t="str"/>
      <x:c r="J31" s="47" t="str">
        <x:v>email, telefon, WWW</x:v>
      </x:c>
      <x:c r="K31" s="47" t="str">
        <x:v>E-mail handlowy + telefon follow-up w ciągu 48 godzin</x:v>
      </x:c>
      <x:c r="L31" s="47" t="str">
        <x:v>Nowy</x:v>
      </x:c>
      <x:c r="M31" s="47" t="str"/>
      <x:c r="N31" s="95" t="str">
        <x:v>Nie potwierdzone | Status źródłowy: Niezweryfikowany</x:v>
      </x:c>
    </x:row>
    <x:row r="32">
      <x:c r="A32" s="23" t="n">
        <x:v>64</x:v>
      </x:c>
      <x:c r="B32" s="24" t="n">
        <x:v>71</x:v>
      </x:c>
      <x:c r="C32" s="24" t="str">
        <x:v>B — kampania regionalna</x:v>
      </x:c>
      <x:c r="D32" s="47" t="str">
        <x:v>Torys — hurtownia papierosów i artykułów chemii gospodarczej</x:v>
      </x:c>
      <x:c r="E32" s="47" t="str">
        <x:v>S2 — Hurtownie tytoniowe/FMCG</x:v>
      </x:c>
      <x:c r="F32" s="47" t="str">
        <x:v>Lubelskie</x:v>
      </x:c>
      <x:c r="G32" s="47" t="str"/>
      <x:c r="H32" s="47" t="str">
        <x:v>+48 82 565 91 57</x:v>
      </x:c>
      <x:c r="I32" s="47" t="str"/>
      <x:c r="J32" s="47" t="str">
        <x:v>email, WWW</x:v>
      </x:c>
      <x:c r="K32" s="47" t="str">
        <x:v>Dodać do kampanii regionalnej i wykonać follow-up telefoniczny</x:v>
      </x:c>
      <x:c r="L32" s="47" t="str">
        <x:v>Nowy</x:v>
      </x:c>
      <x:c r="M32" s="47" t="str">
        <x:v>https://www.pkt.pl/szukaj/hurtownia-papierosow</x:v>
      </x:c>
      <x:c r="N32" s="95" t="str">
        <x:v>Status źródłowy: Do weryfikacji — katalog</x:v>
      </x:c>
    </x:row>
    <x:row r="33">
      <x:c r="A33" s="23" t="n">
        <x:v>65</x:v>
      </x:c>
      <x:c r="B33" s="24" t="n">
        <x:v>71</x:v>
      </x:c>
      <x:c r="C33" s="24" t="str">
        <x:v>B — kampania regionalna</x:v>
      </x:c>
      <x:c r="D33" s="47" t="str">
        <x:v>Rela — hurtownia artykułów spożywczych, papierosów i chemii</x:v>
      </x:c>
      <x:c r="E33" s="47" t="str">
        <x:v>S2 — Hurtownie tytoniowe/FMCG</x:v>
      </x:c>
      <x:c r="F33" s="47" t="str">
        <x:v>Kujawsko-pomorskie</x:v>
      </x:c>
      <x:c r="G33" s="47" t="str"/>
      <x:c r="H33" s="47" t="str">
        <x:v>+48 54 280 22 28</x:v>
      </x:c>
      <x:c r="I33" s="47" t="str"/>
      <x:c r="J33" s="47" t="str">
        <x:v>email, WWW</x:v>
      </x:c>
      <x:c r="K33" s="47" t="str">
        <x:v>Dodać do kampanii regionalnej i wykonać follow-up telefoniczny</x:v>
      </x:c>
      <x:c r="L33" s="47" t="str">
        <x:v>Nowy</x:v>
      </x:c>
      <x:c r="M33" s="47" t="str">
        <x:v>https://www.pkt.pl/szukaj/hurtownia-papierosow</x:v>
      </x:c>
      <x:c r="N33" s="95" t="str">
        <x:v>Status źródłowy: Do weryfikacji — katalog</x:v>
      </x:c>
    </x:row>
    <x:row r="34">
      <x:c r="A34" s="23" t="n">
        <x:v>66</x:v>
      </x:c>
      <x:c r="B34" s="24" t="n">
        <x:v>71</x:v>
      </x:c>
      <x:c r="C34" s="24" t="str">
        <x:v>B — kampania regionalna</x:v>
      </x:c>
      <x:c r="D34" s="47" t="str">
        <x:v>Moto-Mix Hurtownia Papierosów</x:v>
      </x:c>
      <x:c r="E34" s="47" t="str">
        <x:v>S2 — Hurtownie tytoniowe/FMCG</x:v>
      </x:c>
      <x:c r="F34" s="47" t="str">
        <x:v>Łódzkie</x:v>
      </x:c>
      <x:c r="G34" s="47" t="str"/>
      <x:c r="H34" s="47" t="str">
        <x:v>+48 42 214 81 70</x:v>
      </x:c>
      <x:c r="I34" s="47" t="str"/>
      <x:c r="J34" s="47" t="str">
        <x:v>email, WWW</x:v>
      </x:c>
      <x:c r="K34" s="47" t="str">
        <x:v>Dodać do kampanii regionalnej i wykonać follow-up telefoniczny</x:v>
      </x:c>
      <x:c r="L34" s="47" t="str">
        <x:v>Nowy</x:v>
      </x:c>
      <x:c r="M34" s="47" t="str"/>
      <x:c r="N34" s="95" t="str">
        <x:v>Sprawdzić, czy podmiot nadal działa pod tą nazwą i czy prowadzi sprzedaż B2B. | Status źródłowy: Do weryfikacji — katalog</x:v>
      </x:c>
    </x:row>
    <x:row r="35">
      <x:c r="A35" s="23" t="n">
        <x:v>67</x:v>
      </x:c>
      <x:c r="B35" s="24" t="n">
        <x:v>71</x:v>
      </x:c>
      <x:c r="C35" s="24" t="str">
        <x:v>B — kampania regionalna</x:v>
      </x:c>
      <x:c r="D35" s="47" t="str">
        <x:v>Gama — Hurtownia papierosów</x:v>
      </x:c>
      <x:c r="E35" s="47" t="str">
        <x:v>S2 — Hurtownie tytoniowe/FMCG</x:v>
      </x:c>
      <x:c r="F35" s="47" t="str">
        <x:v>Łódzkie</x:v>
      </x:c>
      <x:c r="G35" s="47" t="str"/>
      <x:c r="H35" s="47" t="str">
        <x:v>+48 43 827 40 00</x:v>
      </x:c>
      <x:c r="I35" s="47" t="str"/>
      <x:c r="J35" s="47" t="str">
        <x:v>email, WWW</x:v>
      </x:c>
      <x:c r="K35" s="47" t="str">
        <x:v>Dodać do kampanii regionalnej i wykonać follow-up telefoniczny</x:v>
      </x:c>
      <x:c r="L35" s="47" t="str">
        <x:v>Nowy</x:v>
      </x:c>
      <x:c r="M35" s="47" t="str">
        <x:v>https://www.pkt.pl/szukaj/hurtownia-papierosow</x:v>
      </x:c>
      <x:c r="N35" s="95" t="str">
        <x:v>Status źródłowy: Do weryfikacji — katalog</x:v>
      </x:c>
    </x:row>
    <x:row r="36">
      <x:c r="A36" s="23" t="n">
        <x:v>68</x:v>
      </x:c>
      <x:c r="B36" s="24" t="n">
        <x:v>71</x:v>
      </x:c>
      <x:c r="C36" s="24" t="str">
        <x:v>B — kampania regionalna</x:v>
      </x:c>
      <x:c r="D36" s="47" t="str">
        <x:v>Alfa s.c. — hurtownia artykułów biurowych, papierniczych i papierosów</x:v>
      </x:c>
      <x:c r="E36" s="47" t="str">
        <x:v>S2 — Hurtownie tytoniowe/FMCG</x:v>
      </x:c>
      <x:c r="F36" s="47" t="str">
        <x:v>Lubuskie</x:v>
      </x:c>
      <x:c r="G36" s="47" t="str"/>
      <x:c r="H36" s="47" t="str">
        <x:v>+48 95 762 16 72</x:v>
      </x:c>
      <x:c r="I36" s="47" t="str"/>
      <x:c r="J36" s="47" t="str">
        <x:v>email, WWW</x:v>
      </x:c>
      <x:c r="K36" s="47" t="str">
        <x:v>Dodać do kampanii regionalnej i wykonać follow-up telefoniczny</x:v>
      </x:c>
      <x:c r="L36" s="47" t="str">
        <x:v>Nowy</x:v>
      </x:c>
      <x:c r="M36" s="47" t="str">
        <x:v>https://www.pkt.pl/szukaj/hurtownia-papierosow</x:v>
      </x:c>
      <x:c r="N36" s="95" t="str">
        <x:v>Status źródłowy: Do weryfikacji — katalog</x:v>
      </x:c>
    </x:row>
    <x:row r="37">
      <x:c r="A37" s="23" t="n">
        <x:v>69</x:v>
      </x:c>
      <x:c r="B37" s="24" t="n">
        <x:v>71</x:v>
      </x:c>
      <x:c r="C37" s="24" t="str">
        <x:v>B — kampania regionalna</x:v>
      </x:c>
      <x:c r="D37" s="47" t="str">
        <x:v>Aksel FHU — hurtownia papierosów i artykułów chemicznych</x:v>
      </x:c>
      <x:c r="E37" s="47" t="str">
        <x:v>S2 — Hurtownie tytoniowe/FMCG</x:v>
      </x:c>
      <x:c r="F37" s="47" t="str">
        <x:v>Mazowieckie</x:v>
      </x:c>
      <x:c r="G37" s="47" t="str"/>
      <x:c r="H37" s="47" t="str">
        <x:v>+48 23 672 99 02</x:v>
      </x:c>
      <x:c r="I37" s="47" t="str"/>
      <x:c r="J37" s="47" t="str">
        <x:v>email, WWW</x:v>
      </x:c>
      <x:c r="K37" s="47" t="str">
        <x:v>Dodać do kampanii regionalnej i wykonać follow-up telefoniczny</x:v>
      </x:c>
      <x:c r="L37" s="47" t="str">
        <x:v>Nowy</x:v>
      </x:c>
      <x:c r="M37" s="47" t="str">
        <x:v>https://www.pkt.pl/szukaj/hurtownia-papierosow</x:v>
      </x:c>
      <x:c r="N37" s="95" t="str">
        <x:v>Warto rozdzielić od rekordu ADGAR przy późniejszym czyszczeniu aliasów. | Status źródłowy: Do weryfikacji — katalog</x:v>
      </x:c>
    </x:row>
    <x:row r="38">
      <x:c r="A38" s="23" t="n">
        <x:v>70</x:v>
      </x:c>
      <x:c r="B38" s="24" t="n">
        <x:v>71</x:v>
      </x:c>
      <x:c r="C38" s="24" t="str">
        <x:v>B — kampania regionalna</x:v>
      </x:c>
      <x:c r="D38" s="47" t="str">
        <x:v>Świat Shishy</x:v>
      </x:c>
      <x:c r="E38" s="47" t="str">
        <x:v>S3 — Akcesoria dla palaczy/headshop</x:v>
      </x:c>
      <x:c r="F38" s="47" t="str">
        <x:v>Ogólnopolska</x:v>
      </x:c>
      <x:c r="G38" s="47" t="str"/>
      <x:c r="H38" s="47" t="str"/>
      <x:c r="I38" s="47" t="str">
        <x:v>https://swiatshishy.pl/content/...</x:v>
      </x:c>
      <x:c r="J38" s="47" t="str">
        <x:v>email, telefon</x:v>
      </x:c>
      <x:c r="K38" s="47" t="str">
        <x:v>Dodać do kampanii regionalnej i wykonać follow-up telefoniczny</x:v>
      </x:c>
      <x:c r="L38" s="47" t="str">
        <x:v>Nowy</x:v>
      </x:c>
      <x:c r="M38" s="47" t="str">
        <x:v>https://swiatshishy.pl/content/...</x:v>
      </x:c>
      <x:c r="N38" s="95" t="str">
        <x:v>Nie potwierdzone | Status źródłowy: Niezweryfikowany</x:v>
      </x:c>
    </x:row>
    <x:row r="39">
      <x:c r="A39" s="23" t="n">
        <x:v>71</x:v>
      </x:c>
      <x:c r="B39" s="24" t="n">
        <x:v>71</x:v>
      </x:c>
      <x:c r="C39" s="24" t="str">
        <x:v>B — kampania regionalna</x:v>
      </x:c>
      <x:c r="D39" s="47" t="str">
        <x:v>eMerkury</x:v>
      </x:c>
      <x:c r="E39" s="47" t="str">
        <x:v>S3 — Akcesoria dla palaczy/headshop</x:v>
      </x:c>
      <x:c r="F39" s="47" t="str">
        <x:v>Ogólnopolska</x:v>
      </x:c>
      <x:c r="G39" s="47" t="str"/>
      <x:c r="H39" s="47" t="str"/>
      <x:c r="I39" s="47" t="str">
        <x:v>https://emerkurysa.pl/manufact...</x:v>
      </x:c>
      <x:c r="J39" s="47" t="str">
        <x:v>email, telefon</x:v>
      </x:c>
      <x:c r="K39" s="47" t="str">
        <x:v>Dodać do kampanii regionalnej i wykonać follow-up telefoniczny</x:v>
      </x:c>
      <x:c r="L39" s="47" t="str">
        <x:v>Nowy</x:v>
      </x:c>
      <x:c r="M39" s="47" t="str">
        <x:v>https://emerkurysa.pl/manufact...</x:v>
      </x:c>
      <x:c r="N39" s="95" t="str">
        <x:v>Status źródłowy: Niezweryfikowany</x:v>
      </x:c>
    </x:row>
    <x:row r="40">
      <x:c r="A40" s="23" t="n">
        <x:v>72</x:v>
      </x:c>
      <x:c r="B40" s="24" t="n">
        <x:v>71</x:v>
      </x:c>
      <x:c r="C40" s="24" t="str">
        <x:v>B — kampania regionalna</x:v>
      </x:c>
      <x:c r="D40" s="47" t="str">
        <x:v>VAS Sp. z o.o.</x:v>
      </x:c>
      <x:c r="E40" s="47" t="str">
        <x:v>S3 — Akcesoria dla palaczy/headshop</x:v>
      </x:c>
      <x:c r="F40" s="47" t="str">
        <x:v>Ogólnopolska</x:v>
      </x:c>
      <x:c r="G40" s="47" t="str"/>
      <x:c r="H40" s="47" t="str"/>
      <x:c r="I40" s="47" t="str">
        <x:v>https://vas.com.pl/oferta/zapa...</x:v>
      </x:c>
      <x:c r="J40" s="47" t="str">
        <x:v>email, telefon</x:v>
      </x:c>
      <x:c r="K40" s="47" t="str">
        <x:v>Dodać do kampanii regionalnej i wykonać follow-up telefoniczny</x:v>
      </x:c>
      <x:c r="L40" s="47" t="str">
        <x:v>Nowy</x:v>
      </x:c>
      <x:c r="M40" s="47" t="str">
        <x:v>https://vas.com.pl/oferta/zapa...</x:v>
      </x:c>
      <x:c r="N40" s="95" t="str">
        <x:v>Status źródłowy: Niezweryfikowany</x:v>
      </x:c>
    </x:row>
    <x:row r="41">
      <x:c r="A41" s="23" t="n">
        <x:v>73</x:v>
      </x:c>
      <x:c r="B41" s="24" t="n">
        <x:v>71</x:v>
      </x:c>
      <x:c r="C41" s="24" t="str">
        <x:v>B — kampania regionalna</x:v>
      </x:c>
      <x:c r="D41" s="47" t="str">
        <x:v>Hookahteka.com</x:v>
      </x:c>
      <x:c r="E41" s="47" t="str">
        <x:v>S3 — Akcesoria dla palaczy/headshop</x:v>
      </x:c>
      <x:c r="F41" s="47" t="str">
        <x:v>Ogólnopolska</x:v>
      </x:c>
      <x:c r="G41" s="47" t="str"/>
      <x:c r="H41" s="47" t="str"/>
      <x:c r="I41" s="47" t="str">
        <x:v>https://hookahteka.com/wspolpraca-hurtowa</x:v>
      </x:c>
      <x:c r="J41" s="47" t="str">
        <x:v>email, telefon</x:v>
      </x:c>
      <x:c r="K41" s="47" t="str">
        <x:v>Dodać do kampanii regionalnej i wykonać follow-up telefoniczny</x:v>
      </x:c>
      <x:c r="L41" s="47" t="str">
        <x:v>Nowy</x:v>
      </x:c>
      <x:c r="M41" s="47" t="str">
        <x:v>https://hookahteka.com/wspolpraca-hurtowa</x:v>
      </x:c>
      <x:c r="N41" s="95" t="str">
        <x:v>Status źródłowy: Niezweryfikowany</x:v>
      </x:c>
    </x:row>
    <x:row r="42">
      <x:c r="A42" s="23" t="n">
        <x:v>74</x:v>
      </x:c>
      <x:c r="B42" s="24" t="n">
        <x:v>71</x:v>
      </x:c>
      <x:c r="C42" s="24" t="str">
        <x:v>B — kampania regionalna</x:v>
      </x:c>
      <x:c r="D42" s="47" t="str">
        <x:v>Buszek.com / Hurt.Buszek.com</x:v>
      </x:c>
      <x:c r="E42" s="47" t="str">
        <x:v>S3 — Akcesoria dla palaczy/headshop</x:v>
      </x:c>
      <x:c r="F42" s="47" t="str">
        <x:v>Ogólnopolska</x:v>
      </x:c>
      <x:c r="G42" s="47" t="str"/>
      <x:c r="H42" s="47" t="str"/>
      <x:c r="I42" s="47" t="str">
        <x:v>https://buszek.com</x:v>
      </x:c>
      <x:c r="J42" s="47" t="str">
        <x:v>email, telefon</x:v>
      </x:c>
      <x:c r="K42" s="47" t="str">
        <x:v>Dodać do kampanii regionalnej i wykonać follow-up telefoniczny</x:v>
      </x:c>
      <x:c r="L42" s="47" t="str">
        <x:v>Nowy</x:v>
      </x:c>
      <x:c r="M42" s="47" t="str">
        <x:v>https://buszek.com</x:v>
      </x:c>
      <x:c r="N42" s="95" t="str">
        <x:v>Nie potwierdzone | Status źródłowy: Niezweryfikowany</x:v>
      </x:c>
    </x:row>
    <x:row r="43">
      <x:c r="A43" s="23" t="n">
        <x:v>75</x:v>
      </x:c>
      <x:c r="B43" s="24" t="n">
        <x:v>70</x:v>
      </x:c>
      <x:c r="C43" s="24" t="str">
        <x:v>B — kampania regionalna</x:v>
      </x:c>
      <x:c r="D43" s="47" t="str">
        <x:v>Smoke.pl / Smoke Shop</x:v>
      </x:c>
      <x:c r="E43" s="47" t="str">
        <x:v>S4 — Vape/e-papierosy</x:v>
      </x:c>
      <x:c r="F43" s="47" t="str">
        <x:v>Ogólnopolska</x:v>
      </x:c>
      <x:c r="G43" s="47" t="str"/>
      <x:c r="H43" s="47" t="str">
        <x:v>+48 452 454 726</x:v>
      </x:c>
      <x:c r="I43" s="47" t="str">
        <x:v>https://smoke.pl</x:v>
      </x:c>
      <x:c r="J43" s="47" t="str">
        <x:v>email</x:v>
      </x:c>
      <x:c r="K43" s="47" t="str">
        <x:v>Dodać do kampanii regionalnej i wykonać follow-up telefoniczny</x:v>
      </x:c>
      <x:c r="L43" s="47" t="str">
        <x:v>Nowy</x:v>
      </x:c>
      <x:c r="M43" s="47" t="str">
        <x:v>https://smoke.pl</x:v>
      </x:c>
      <x:c r="N43" s="95" t="str">
        <x:v>Nie potwierdzone | Status źródłowy: Niezweryfikowany</x:v>
      </x:c>
    </x:row>
    <x:row r="44">
      <x:c r="A44" s="23" t="n">
        <x:v>76</x:v>
      </x:c>
      <x:c r="B44" s="24" t="n">
        <x:v>70</x:v>
      </x:c>
      <x:c r="C44" s="24" t="str">
        <x:v>B — kampania regionalna</x:v>
      </x:c>
      <x:c r="D44" s="47" t="str">
        <x:v>Zefir Sp. z o.o. — hurtownia papierosów, chemii gospodarczej i kosmetyków</x:v>
      </x:c>
      <x:c r="E44" s="47" t="str">
        <x:v>S2 — Hurtownie tytoniowe/FMCG</x:v>
      </x:c>
      <x:c r="F44" s="47" t="str">
        <x:v>Podlaskie</x:v>
      </x:c>
      <x:c r="G44" s="47" t="str"/>
      <x:c r="H44" s="47" t="str"/>
      <x:c r="I44" s="47" t="str">
        <x:v>https://www.zefirhurt.com.pl</x:v>
      </x:c>
      <x:c r="J44" s="47" t="str">
        <x:v>email, telefon</x:v>
      </x:c>
      <x:c r="K44" s="47" t="str">
        <x:v>Dodać do kampanii regionalnej i wykonać follow-up telefoniczny</x:v>
      </x:c>
      <x:c r="L44" s="47" t="str">
        <x:v>Nowy</x:v>
      </x:c>
      <x:c r="M44" s="47" t="str">
        <x:v>https://www.pkt.pl/szukaj/hurtownia-papierosow | https://www.zefirhurt.com.pl</x:v>
      </x:c>
      <x:c r="N44" s="95" t="str">
        <x:v>Status źródłowy: Do weryfikacji — katalog</x:v>
      </x:c>
    </x:row>
    <x:row r="45">
      <x:c r="A45" s="23" t="n">
        <x:v>78</x:v>
      </x:c>
      <x:c r="B45" s="24" t="n">
        <x:v>69</x:v>
      </x:c>
      <x:c r="C45" s="24" t="str">
        <x:v>B — kampania regionalna</x:v>
      </x:c>
      <x:c r="D45" s="47" t="str">
        <x:v>Wojmar s.c.</x:v>
      </x:c>
      <x:c r="E45" s="47" t="str">
        <x:v>S2 — Hurtownie tytoniowe/FMCG</x:v>
      </x:c>
      <x:c r="F45" s="47" t="str">
        <x:v>Lubelskie</x:v>
      </x:c>
      <x:c r="G45" s="47" t="str">
        <x:v>wojmarsc1@gmail.com</x:v>
      </x:c>
      <x:c r="H45" s="47" t="str">
        <x:v>514 183 2xx</x:v>
      </x:c>
      <x:c r="I45" s="47" t="str"/>
      <x:c r="J45" s="47" t="str">
        <x:v>WWW</x:v>
      </x:c>
      <x:c r="K45" s="47" t="str">
        <x:v>Dodać do kampanii regionalnej i wykonać follow-up telefoniczny</x:v>
      </x:c>
      <x:c r="L45" s="47" t="str">
        <x:v>Nowy</x:v>
      </x:c>
      <x:c r="M45" s="47" t="str"/>
      <x:c r="N45" s="95" t="str">
        <x:v>Z listy BISTA</x:v>
      </x:c>
    </x:row>
    <x:row r="46">
      <x:c r="A46" s="23" t="n">
        <x:v>79</x:v>
      </x:c>
      <x:c r="B46" s="24" t="n">
        <x:v>69</x:v>
      </x:c>
      <x:c r="C46" s="24" t="str">
        <x:v>B — kampania regionalna</x:v>
      </x:c>
      <x:c r="D46" s="47" t="str">
        <x:v>TOBACCO CONCEPT FACTORY</x:v>
      </x:c>
      <x:c r="E46" s="47" t="str">
        <x:v>S2 — Hurtownie tytoniowe/FMCG</x:v>
      </x:c>
      <x:c r="F46" s="47" t="str">
        <x:v>Nieustalony</x:v>
      </x:c>
      <x:c r="G46" s="47" t="str">
        <x:v>biuro@tcfgroup.eu</x:v>
      </x:c>
      <x:c r="H46" s="47" t="str">
        <x:v>508 101 7xx</x:v>
      </x:c>
      <x:c r="I46" s="47" t="str"/>
      <x:c r="J46" s="47" t="str">
        <x:v>WWW</x:v>
      </x:c>
      <x:c r="K46" s="47" t="str">
        <x:v>Dodać do kampanii regionalnej i wykonać follow-up telefoniczny</x:v>
      </x:c>
      <x:c r="L46" s="47" t="str">
        <x:v>Nowy</x:v>
      </x:c>
      <x:c r="M46" s="47" t="str"/>
      <x:c r="N46" s="95" t="str">
        <x:v>Z listy BISTA; kujawsko-pomorskie i małopolskie</x:v>
      </x:c>
    </x:row>
    <x:row r="47">
      <x:c r="A47" s="23" t="n">
        <x:v>80</x:v>
      </x:c>
      <x:c r="B47" s="24" t="n">
        <x:v>69</x:v>
      </x:c>
      <x:c r="C47" s="24" t="str">
        <x:v>B — kampania regionalna</x:v>
      </x:c>
      <x:c r="D47" s="47" t="str">
        <x:v>P.H.U. TRANS</x:v>
      </x:c>
      <x:c r="E47" s="47" t="str">
        <x:v>S2 — Hurtownie tytoniowe/FMCG</x:v>
      </x:c>
      <x:c r="F47" s="47" t="str">
        <x:v>Lubelskie</x:v>
      </x:c>
      <x:c r="G47" s="47" t="str">
        <x:v>phnatiuk@wp.pl</x:v>
      </x:c>
      <x:c r="H47" s="47" t="str">
        <x:v>504 392 4xx</x:v>
      </x:c>
      <x:c r="I47" s="47" t="str"/>
      <x:c r="J47" s="47" t="str">
        <x:v>WWW</x:v>
      </x:c>
      <x:c r="K47" s="47" t="str">
        <x:v>Dodać do kampanii regionalnej i wykonać follow-up telefoniczny</x:v>
      </x:c>
      <x:c r="L47" s="47" t="str">
        <x:v>Nowy</x:v>
      </x:c>
      <x:c r="M47" s="47" t="str"/>
      <x:c r="N47" s="95" t="str">
        <x:v>Z listy BISTA</x:v>
      </x:c>
    </x:row>
    <x:row r="48">
      <x:c r="A48" s="23" t="n">
        <x:v>81</x:v>
      </x:c>
      <x:c r="B48" s="24" t="n">
        <x:v>69</x:v>
      </x:c>
      <x:c r="C48" s="24" t="str">
        <x:v>B — kampania regionalna</x:v>
      </x:c>
      <x:c r="D48" s="47" t="str">
        <x:v>MATPIO Mariusz Wieliczko</x:v>
      </x:c>
      <x:c r="E48" s="47" t="str">
        <x:v>S2 — Hurtownie tytoniowe/FMCG</x:v>
      </x:c>
      <x:c r="F48" s="47" t="str">
        <x:v>Lubelskie</x:v>
      </x:c>
      <x:c r="G48" s="47" t="str">
        <x:v>wieli@o2.pl</x:v>
      </x:c>
      <x:c r="H48" s="47" t="str">
        <x:v>609 774 7xx</x:v>
      </x:c>
      <x:c r="I48" s="47" t="str"/>
      <x:c r="J48" s="47" t="str">
        <x:v>WWW</x:v>
      </x:c>
      <x:c r="K48" s="47" t="str">
        <x:v>Dodać do kampanii regionalnej i wykonać follow-up telefoniczny</x:v>
      </x:c>
      <x:c r="L48" s="47" t="str">
        <x:v>Nowy</x:v>
      </x:c>
      <x:c r="M48" s="47" t="str"/>
      <x:c r="N48" s="95" t="str">
        <x:v>Z listy BISTA</x:v>
      </x:c>
    </x:row>
    <x:row r="49">
      <x:c r="A49" s="23" t="n">
        <x:v>82</x:v>
      </x:c>
      <x:c r="B49" s="24" t="n">
        <x:v>69</x:v>
      </x:c>
      <x:c r="C49" s="24" t="str">
        <x:v>B — kampania regionalna</x:v>
      </x:c>
      <x:c r="D49" s="47" t="str">
        <x:v>JABA Firma Handlowa</x:v>
      </x:c>
      <x:c r="E49" s="47" t="str">
        <x:v>S2 — Hurtownie tytoniowe/FMCG</x:v>
      </x:c>
      <x:c r="F49" s="47" t="str">
        <x:v>Pomorskie</x:v>
      </x:c>
      <x:c r="G49" s="47" t="str">
        <x:v>jbalcer352@gmail.com</x:v>
      </x:c>
      <x:c r="H49" s="47" t="str">
        <x:v>604 680 xxx</x:v>
      </x:c>
      <x:c r="I49" s="47" t="str"/>
      <x:c r="J49" s="47" t="str">
        <x:v>WWW</x:v>
      </x:c>
      <x:c r="K49" s="47" t="str">
        <x:v>Dodać do kampanii regionalnej i wykonać follow-up telefoniczny</x:v>
      </x:c>
      <x:c r="L49" s="47" t="str">
        <x:v>Nowy</x:v>
      </x:c>
      <x:c r="M49" s="47" t="str"/>
      <x:c r="N49" s="95" t="str">
        <x:v>Z listy BISTA</x:v>
      </x:c>
    </x:row>
    <x:row r="50">
      <x:c r="A50" s="23" t="n">
        <x:v>83</x:v>
      </x:c>
      <x:c r="B50" s="24" t="n">
        <x:v>69</x:v>
      </x:c>
      <x:c r="C50" s="24" t="str">
        <x:v>B — kampania regionalna</x:v>
      </x:c>
      <x:c r="D50" s="47" t="str">
        <x:v>Świat Alkoholi</x:v>
      </x:c>
      <x:c r="E50" s="47" t="str">
        <x:v>S3 — Akcesoria dla palaczy/headshop</x:v>
      </x:c>
      <x:c r="F50" s="47" t="str">
        <x:v>Śląskie</x:v>
      </x:c>
      <x:c r="G50" s="47" t="str"/>
      <x:c r="H50" s="47" t="str">
        <x:v>+48 32 738 08 93</x:v>
      </x:c>
      <x:c r="I50" s="47" t="str">
        <x:v>http://www.swiatalkoholipolska.pl/sklepy/swiat-alkoholi-mikolow</x:v>
      </x:c>
      <x:c r="J50" s="47" t="str">
        <x:v>email</x:v>
      </x:c>
      <x:c r="K50" s="47" t="str">
        <x:v>Dodać do kampanii regionalnej i wykonać follow-up telefoniczny</x:v>
      </x:c>
      <x:c r="L50" s="47" t="str">
        <x:v>Nowy</x:v>
      </x:c>
      <x:c r="M50" s="47" t="str">
        <x:v>http://www.swiatalkoholipolska.pl/sklepy/swiat-alkoholi-mikolow</x:v>
      </x:c>
      <x:c r="N50" s="95" t="str">
        <x:v>Status źródłowy: Niezweryfikowany</x:v>
      </x:c>
    </x:row>
    <x:row r="51">
      <x:c r="A51" s="23" t="n">
        <x:v>84</x:v>
      </x:c>
      <x:c r="B51" s="24" t="n">
        <x:v>69</x:v>
      </x:c>
      <x:c r="C51" s="24" t="str">
        <x:v>B — kampania regionalna</x:v>
      </x:c>
      <x:c r="D51" s="47" t="str">
        <x:v>Trafika Tabak IQOS Partner</x:v>
      </x:c>
      <x:c r="E51" s="47" t="str">
        <x:v>S3 — Akcesoria dla palaczy/headshop</x:v>
      </x:c>
      <x:c r="F51" s="47" t="str">
        <x:v>Kujawsko-pomorskie</x:v>
      </x:c>
      <x:c r="G51" s="47" t="str"/>
      <x:c r="H51" s="47" t="str">
        <x:v>+48 516 187 681</x:v>
      </x:c>
      <x:c r="I51" s="47" t="str">
        <x:v>http://www.tabakpolska.com.pl</x:v>
      </x:c>
      <x:c r="J51" s="47" t="str">
        <x:v>email</x:v>
      </x:c>
      <x:c r="K51" s="47" t="str">
        <x:v>Dodać do kampanii regionalnej i wykonać follow-up telefoniczny</x:v>
      </x:c>
      <x:c r="L51" s="47" t="str">
        <x:v>Nowy</x:v>
      </x:c>
      <x:c r="M51" s="47" t="str">
        <x:v>http://www.tabakpolska.com.pl</x:v>
      </x:c>
      <x:c r="N51" s="95" t="str">
        <x:v>Status źródłowy: Niezweryfikowany</x:v>
      </x:c>
    </x:row>
    <x:row r="52">
      <x:c r="A52" s="23" t="n">
        <x:v>85</x:v>
      </x:c>
      <x:c r="B52" s="24" t="n">
        <x:v>69</x:v>
      </x:c>
      <x:c r="C52" s="24" t="str">
        <x:v>B — kampania regionalna</x:v>
      </x:c>
      <x:c r="D52" s="47" t="str">
        <x:v>Trafica-Hurt S.C. (smokyhub.pl)</x:v>
      </x:c>
      <x:c r="E52" s="47" t="str">
        <x:v>S3 — Akcesoria dla palaczy/headshop</x:v>
      </x:c>
      <x:c r="F52" s="47" t="str">
        <x:v>Lubelskie</x:v>
      </x:c>
      <x:c r="G52" s="47" t="str"/>
      <x:c r="H52" s="47" t="str">
        <x:v>+48 81 744 30 40</x:v>
      </x:c>
      <x:c r="I52" s="47" t="str">
        <x:v>http://smokyhub.pl</x:v>
      </x:c>
      <x:c r="J52" s="47" t="str">
        <x:v>email</x:v>
      </x:c>
      <x:c r="K52" s="47" t="str">
        <x:v>Dodać do kampanii regionalnej i wykonać follow-up telefoniczny</x:v>
      </x:c>
      <x:c r="L52" s="47" t="str">
        <x:v>Nowy</x:v>
      </x:c>
      <x:c r="M52" s="47" t="str">
        <x:v>http://smokyhub.pl</x:v>
      </x:c>
      <x:c r="N52" s="95" t="str">
        <x:v>Status źródłowy: Niezweryfikowany</x:v>
      </x:c>
    </x:row>
    <x:row r="53">
      <x:c r="A53" s="23" t="n">
        <x:v>86</x:v>
      </x:c>
      <x:c r="B53" s="24" t="n">
        <x:v>69</x:v>
      </x:c>
      <x:c r="C53" s="24" t="str">
        <x:v>B — kampania regionalna</x:v>
      </x:c>
      <x:c r="D53" s="47" t="str">
        <x:v>Tobacco Trading International Poland Sp. z o.o.</x:v>
      </x:c>
      <x:c r="E53" s="47" t="str">
        <x:v>S3 — Akcesoria dla palaczy/headshop</x:v>
      </x:c>
      <x:c r="F53" s="47" t="str">
        <x:v>Małopolskie</x:v>
      </x:c>
      <x:c r="G53" s="47" t="str"/>
      <x:c r="H53" s="47" t="str">
        <x:v>+48 12 420 91 30</x:v>
      </x:c>
      <x:c r="I53" s="47" t="str">
        <x:v>http://ttipoland.pl</x:v>
      </x:c>
      <x:c r="J53" s="47" t="str">
        <x:v>email</x:v>
      </x:c>
      <x:c r="K53" s="47" t="str">
        <x:v>Dodać do kampanii regionalnej i wykonać follow-up telefoniczny</x:v>
      </x:c>
      <x:c r="L53" s="47" t="str">
        <x:v>Nowy</x:v>
      </x:c>
      <x:c r="M53" s="47" t="str">
        <x:v>http://ttipoland.pl</x:v>
      </x:c>
      <x:c r="N53" s="95" t="str">
        <x:v>Status źródłowy: Niezweryfikowany</x:v>
      </x:c>
    </x:row>
    <x:row r="54">
      <x:c r="A54" s="23" t="n">
        <x:v>87</x:v>
      </x:c>
      <x:c r="B54" s="24" t="n">
        <x:v>69</x:v>
      </x:c>
      <x:c r="C54" s="24" t="str">
        <x:v>B — kampania regionalna</x:v>
      </x:c>
      <x:c r="D54" s="47" t="str">
        <x:v>Teks S.A.</x:v>
      </x:c>
      <x:c r="E54" s="47" t="str">
        <x:v>S3 — Akcesoria dla palaczy/headshop</x:v>
      </x:c>
      <x:c r="F54" s="47" t="str">
        <x:v>Świętokrzyskie</x:v>
      </x:c>
      <x:c r="G54" s="47" t="str"/>
      <x:c r="H54" s="47" t="str">
        <x:v>+48 48 365 25 07</x:v>
      </x:c>
      <x:c r="I54" s="47" t="str">
        <x:v>http://www.tekssa.pl</x:v>
      </x:c>
      <x:c r="J54" s="47" t="str">
        <x:v>email</x:v>
      </x:c>
      <x:c r="K54" s="47" t="str">
        <x:v>Dodać do kampanii regionalnej i wykonać follow-up telefoniczny</x:v>
      </x:c>
      <x:c r="L54" s="47" t="str">
        <x:v>Nowy</x:v>
      </x:c>
      <x:c r="M54" s="47" t="str">
        <x:v>http://www.tekssa.pl</x:v>
      </x:c>
      <x:c r="N54" s="95" t="str">
        <x:v>Status źródłowy: Niezweryfikowany</x:v>
      </x:c>
    </x:row>
    <x:row r="55">
      <x:c r="A55" s="23" t="n">
        <x:v>88</x:v>
      </x:c>
      <x:c r="B55" s="24" t="n">
        <x:v>69</x:v>
      </x:c>
      <x:c r="C55" s="24" t="str">
        <x:v>B — kampania regionalna</x:v>
      </x:c>
      <x:c r="D55" s="47" t="str">
        <x:v>Supra - Papierosy dla klientów hurtowych</x:v>
      </x:c>
      <x:c r="E55" s="47" t="str">
        <x:v>S3 — Akcesoria dla palaczy/headshop</x:v>
      </x:c>
      <x:c r="F55" s="47" t="str">
        <x:v>Małopolskie</x:v>
      </x:c>
      <x:c r="G55" s="47" t="str"/>
      <x:c r="H55" s="47" t="str">
        <x:v>+48 600 336 100</x:v>
      </x:c>
      <x:c r="I55" s="47" t="str">
        <x:v>https://e-supra.pl</x:v>
      </x:c>
      <x:c r="J55" s="47" t="str">
        <x:v>email</x:v>
      </x:c>
      <x:c r="K55" s="47" t="str">
        <x:v>Dodać do kampanii regionalnej i wykonać follow-up telefoniczny</x:v>
      </x:c>
      <x:c r="L55" s="47" t="str">
        <x:v>Nowy</x:v>
      </x:c>
      <x:c r="M55" s="47" t="str">
        <x:v>https://e-supra.pl</x:v>
      </x:c>
      <x:c r="N55" s="95" t="str">
        <x:v>Status źródłowy: Niezweryfikowany</x:v>
      </x:c>
    </x:row>
    <x:row r="56">
      <x:c r="A56" s="23" t="n">
        <x:v>89</x:v>
      </x:c>
      <x:c r="B56" s="24" t="n">
        <x:v>69</x:v>
      </x:c>
      <x:c r="C56" s="24" t="str">
        <x:v>B — kampania regionalna</x:v>
      </x:c>
      <x:c r="D56" s="47" t="str">
        <x:v>Sklep po schodkach - piwo, wino, tanie papierosy</x:v>
      </x:c>
      <x:c r="E56" s="47" t="str">
        <x:v>S3 — Akcesoria dla palaczy/headshop</x:v>
      </x:c>
      <x:c r="F56" s="47" t="str">
        <x:v>Mazowieckie</x:v>
      </x:c>
      <x:c r="G56" s="47" t="str"/>
      <x:c r="H56" s="47" t="str">
        <x:v>+48 518 985 675</x:v>
      </x:c>
      <x:c r="I56" s="47" t="str">
        <x:v>http://www.profinanceline.pl</x:v>
      </x:c>
      <x:c r="J56" s="47" t="str">
        <x:v>email</x:v>
      </x:c>
      <x:c r="K56" s="47" t="str">
        <x:v>Dodać do kampanii regionalnej i wykonać follow-up telefoniczny</x:v>
      </x:c>
      <x:c r="L56" s="47" t="str">
        <x:v>Nowy</x:v>
      </x:c>
      <x:c r="M56" s="47" t="str">
        <x:v>http://www.profinanceline.pl</x:v>
      </x:c>
      <x:c r="N56" s="95" t="str">
        <x:v>Status źródłowy: Niezweryfikowany</x:v>
      </x:c>
    </x:row>
    <x:row r="57">
      <x:c r="A57" s="23" t="n">
        <x:v>90</x:v>
      </x:c>
      <x:c r="B57" s="24" t="n">
        <x:v>69</x:v>
      </x:c>
      <x:c r="C57" s="24" t="str">
        <x:v>B — kampania regionalna</x:v>
      </x:c>
      <x:c r="D57" s="47" t="str">
        <x:v>Sherlock Trafika</x:v>
      </x:c>
      <x:c r="E57" s="47" t="str">
        <x:v>S3 — Akcesoria dla palaczy/headshop</x:v>
      </x:c>
      <x:c r="F57" s="47" t="str">
        <x:v>Mazowieckie</x:v>
      </x:c>
      <x:c r="G57" s="47" t="str"/>
      <x:c r="H57" s="47" t="str">
        <x:v>+48 606 163 537</x:v>
      </x:c>
      <x:c r="I57" s="47" t="str">
        <x:v>http://sherlocktrafika.pl</x:v>
      </x:c>
      <x:c r="J57" s="47" t="str">
        <x:v>email</x:v>
      </x:c>
      <x:c r="K57" s="47" t="str">
        <x:v>Dodać do kampanii regionalnej i wykonać follow-up telefoniczny</x:v>
      </x:c>
      <x:c r="L57" s="47" t="str">
        <x:v>Nowy</x:v>
      </x:c>
      <x:c r="M57" s="47" t="str">
        <x:v>http://sherlocktrafika.pl</x:v>
      </x:c>
      <x:c r="N57" s="95" t="str">
        <x:v>Status źródłowy: Niezweryfikowany</x:v>
      </x:c>
    </x:row>
    <x:row r="58">
      <x:c r="A58" s="23" t="n">
        <x:v>91</x:v>
      </x:c>
      <x:c r="B58" s="24" t="n">
        <x:v>69</x:v>
      </x:c>
      <x:c r="C58" s="24" t="str">
        <x:v>B — kampania regionalna</x:v>
      </x:c>
      <x:c r="D58" s="47" t="str">
        <x:v>Selgros</x:v>
      </x:c>
      <x:c r="E58" s="47" t="str">
        <x:v>S3 — Akcesoria dla palaczy/headshop</x:v>
      </x:c>
      <x:c r="F58" s="47" t="str">
        <x:v>Śląskie</x:v>
      </x:c>
      <x:c r="G58" s="47" t="str"/>
      <x:c r="H58" s="47" t="str">
        <x:v>+48 32 768 80 00</x:v>
      </x:c>
      <x:c r="I58" s="47" t="str">
        <x:v>http://www.selgros.pl</x:v>
      </x:c>
      <x:c r="J58" s="47" t="str">
        <x:v>email</x:v>
      </x:c>
      <x:c r="K58" s="47" t="str">
        <x:v>Dodać do kampanii regionalnej i wykonać follow-up telefoniczny</x:v>
      </x:c>
      <x:c r="L58" s="47" t="str">
        <x:v>Nowy</x:v>
      </x:c>
      <x:c r="M58" s="47" t="str">
        <x:v>http://www.selgros.pl</x:v>
      </x:c>
      <x:c r="N58" s="95" t="str">
        <x:v>Status źródłowy: Niezweryfikowany</x:v>
      </x:c>
    </x:row>
    <x:row r="59">
      <x:c r="A59" s="23" t="n">
        <x:v>92</x:v>
      </x:c>
      <x:c r="B59" s="24" t="n">
        <x:v>69</x:v>
      </x:c>
      <x:c r="C59" s="24" t="str">
        <x:v>B — kampania regionalna</x:v>
      </x:c>
      <x:c r="D59" s="47" t="str">
        <x:v>SOFLY</x:v>
      </x:c>
      <x:c r="E59" s="47" t="str">
        <x:v>S3 — Akcesoria dla palaczy/headshop</x:v>
      </x:c>
      <x:c r="F59" s="47" t="str">
        <x:v>Dolnośląskie</x:v>
      </x:c>
      <x:c r="G59" s="47" t="str"/>
      <x:c r="H59" s="47" t="str">
        <x:v>+48 531 263 336</x:v>
      </x:c>
      <x:c r="I59" s="47" t="str">
        <x:v>https://sofly.club</x:v>
      </x:c>
      <x:c r="J59" s="47" t="str">
        <x:v>email</x:v>
      </x:c>
      <x:c r="K59" s="47" t="str">
        <x:v>Dodać do kampanii regionalnej i wykonać follow-up telefoniczny</x:v>
      </x:c>
      <x:c r="L59" s="47" t="str">
        <x:v>Nowy</x:v>
      </x:c>
      <x:c r="M59" s="47" t="str">
        <x:v>https://sofly.club</x:v>
      </x:c>
      <x:c r="N59" s="95" t="str">
        <x:v>Status źródłowy: Niezweryfikowany</x:v>
      </x:c>
    </x:row>
    <x:row r="60">
      <x:c r="A60" s="23" t="n">
        <x:v>93</x:v>
      </x:c>
      <x:c r="B60" s="24" t="n">
        <x:v>69</x:v>
      </x:c>
      <x:c r="C60" s="24" t="str">
        <x:v>B — kampania regionalna</x:v>
      </x:c>
      <x:c r="D60" s="47" t="str">
        <x:v>SAT Tomasz Sromek</x:v>
      </x:c>
      <x:c r="E60" s="47" t="str">
        <x:v>S3 — Akcesoria dla palaczy/headshop</x:v>
      </x:c>
      <x:c r="F60" s="47" t="str">
        <x:v>Małopolskie</x:v>
      </x:c>
      <x:c r="G60" s="47" t="str"/>
      <x:c r="H60" s="47" t="str">
        <x:v>+48 18 444 40 30</x:v>
      </x:c>
      <x:c r="I60" s="47" t="str">
        <x:v>http://hurtowniasat.pl</x:v>
      </x:c>
      <x:c r="J60" s="47" t="str">
        <x:v>email</x:v>
      </x:c>
      <x:c r="K60" s="47" t="str">
        <x:v>Dodać do kampanii regionalnej i wykonać follow-up telefoniczny</x:v>
      </x:c>
      <x:c r="L60" s="47" t="str">
        <x:v>Nowy</x:v>
      </x:c>
      <x:c r="M60" s="47" t="str">
        <x:v>http://hurtowniasat.pl</x:v>
      </x:c>
      <x:c r="N60" s="95" t="str">
        <x:v>Status źródłowy: Niezweryfikowany</x:v>
      </x:c>
    </x:row>
    <x:row r="61">
      <x:c r="A61" s="23" t="n">
        <x:v>94</x:v>
      </x:c>
      <x:c r="B61" s="24" t="n">
        <x:v>69</x:v>
      </x:c>
      <x:c r="C61" s="24" t="str">
        <x:v>B — kampania regionalna</x:v>
      </x:c>
      <x:c r="D61" s="47" t="str">
        <x:v>Redo Sp. z o.o. Hurtownia alkoholu</x:v>
      </x:c>
      <x:c r="E61" s="47" t="str">
        <x:v>S3 — Akcesoria dla palaczy/headshop</x:v>
      </x:c>
      <x:c r="F61" s="47" t="str">
        <x:v>Podlaskie</x:v>
      </x:c>
      <x:c r="G61" s="47" t="str"/>
      <x:c r="H61" s="47" t="str">
        <x:v>+48 87 643 23 62</x:v>
      </x:c>
      <x:c r="I61" s="47" t="str">
        <x:v>http://www.redo.pl/?pl,kontakt</x:v>
      </x:c>
      <x:c r="J61" s="47" t="str">
        <x:v>email</x:v>
      </x:c>
      <x:c r="K61" s="47" t="str">
        <x:v>Dodać do kampanii regionalnej i wykonać follow-up telefoniczny</x:v>
      </x:c>
      <x:c r="L61" s="47" t="str">
        <x:v>Nowy</x:v>
      </x:c>
      <x:c r="M61" s="47" t="str">
        <x:v>http://www.redo.pl/?pl,kontakt</x:v>
      </x:c>
      <x:c r="N61" s="95" t="str">
        <x:v>Status źródłowy: Niezweryfikowany</x:v>
      </x:c>
    </x:row>
    <x:row r="62">
      <x:c r="A62" s="23" t="n">
        <x:v>95</x:v>
      </x:c>
      <x:c r="B62" s="24" t="n">
        <x:v>69</x:v>
      </x:c>
      <x:c r="C62" s="24" t="str">
        <x:v>B — kampania regionalna</x:v>
      </x:c>
      <x:c r="D62" s="47" t="str">
        <x:v>Polska Grupa Tytoniowa</x:v>
      </x:c>
      <x:c r="E62" s="47" t="str">
        <x:v>S3 — Akcesoria dla palaczy/headshop</x:v>
      </x:c>
      <x:c r="F62" s="47" t="str">
        <x:v>Kujawsko-pomorskie</x:v>
      </x:c>
      <x:c r="G62" s="47" t="str"/>
      <x:c r="H62" s="47" t="str">
        <x:v>+48 502 494 942</x:v>
      </x:c>
      <x:c r="I62" s="47" t="str">
        <x:v>http://www.b2b.katalogpgt.pl</x:v>
      </x:c>
      <x:c r="J62" s="47" t="str">
        <x:v>email</x:v>
      </x:c>
      <x:c r="K62" s="47" t="str">
        <x:v>Dodać do kampanii regionalnej i wykonać follow-up telefoniczny</x:v>
      </x:c>
      <x:c r="L62" s="47" t="str">
        <x:v>Nowy</x:v>
      </x:c>
      <x:c r="M62" s="47" t="str">
        <x:v>http://www.b2b.katalogpgt.pl</x:v>
      </x:c>
      <x:c r="N62" s="95" t="str">
        <x:v>Status źródłowy: Niezweryfikowany</x:v>
      </x:c>
    </x:row>
    <x:row r="63">
      <x:c r="A63" s="23" t="n">
        <x:v>96</x:v>
      </x:c>
      <x:c r="B63" s="24" t="n">
        <x:v>69</x:v>
      </x:c>
      <x:c r="C63" s="24" t="str">
        <x:v>B — kampania regionalna</x:v>
      </x:c>
      <x:c r="D63" s="47" t="str">
        <x:v>PHUP Gniezno Szeszycki sp.k.</x:v>
      </x:c>
      <x:c r="E63" s="47" t="str">
        <x:v>S3 — Akcesoria dla palaczy/headshop</x:v>
      </x:c>
      <x:c r="F63" s="47" t="str">
        <x:v>Opolskie</x:v>
      </x:c>
      <x:c r="G63" s="47" t="str"/>
      <x:c r="H63" s="47" t="str">
        <x:v>+48 512 984 347</x:v>
      </x:c>
      <x:c r="I63" s="47" t="str">
        <x:v>http://www.phupgniezno.pl</x:v>
      </x:c>
      <x:c r="J63" s="47" t="str">
        <x:v>email</x:v>
      </x:c>
      <x:c r="K63" s="47" t="str">
        <x:v>Dodać do kampanii regionalnej i wykonać follow-up telefoniczny</x:v>
      </x:c>
      <x:c r="L63" s="47" t="str">
        <x:v>Nowy</x:v>
      </x:c>
      <x:c r="M63" s="47" t="str">
        <x:v>http://www.phupgniezno.pl</x:v>
      </x:c>
      <x:c r="N63" s="95" t="str">
        <x:v>Status źródłowy: Niezweryfikowany</x:v>
      </x:c>
    </x:row>
    <x:row r="64">
      <x:c r="A64" s="23" t="n">
        <x:v>97</x:v>
      </x:c>
      <x:c r="B64" s="24" t="n">
        <x:v>69</x:v>
      </x:c>
      <x:c r="C64" s="24" t="str">
        <x:v>B — kampania regionalna</x:v>
      </x:c>
      <x:c r="D64" s="47" t="str">
        <x:v>P.H Mars sp.j</x:v>
      </x:c>
      <x:c r="E64" s="47" t="str">
        <x:v>S3 — Akcesoria dla palaczy/headshop</x:v>
      </x:c>
      <x:c r="F64" s="47" t="str">
        <x:v>Dolnośląskie</x:v>
      </x:c>
      <x:c r="G64" s="47" t="str"/>
      <x:c r="H64" s="47" t="str">
        <x:v>+48 75 744 38 77</x:v>
      </x:c>
      <x:c r="I64" s="47" t="str">
        <x:v>https://hurtowniamars.pl</x:v>
      </x:c>
      <x:c r="J64" s="47" t="str">
        <x:v>email</x:v>
      </x:c>
      <x:c r="K64" s="47" t="str">
        <x:v>Dodać do kampanii regionalnej i wykonać follow-up telefoniczny</x:v>
      </x:c>
      <x:c r="L64" s="47" t="str">
        <x:v>Nowy</x:v>
      </x:c>
      <x:c r="M64" s="47" t="str">
        <x:v>https://hurtowniamars.pl</x:v>
      </x:c>
      <x:c r="N64" s="95" t="str">
        <x:v>Status źródłowy: Niezweryfikowany</x:v>
      </x:c>
    </x:row>
    <x:row r="65">
      <x:c r="A65" s="23" t="n">
        <x:v>98</x:v>
      </x:c>
      <x:c r="B65" s="24" t="n">
        <x:v>69</x:v>
      </x:c>
      <x:c r="C65" s="24" t="str">
        <x:v>B — kampania regionalna</x:v>
      </x:c>
      <x:c r="D65" s="47" t="str">
        <x:v>Mona hurtownia papierosów</x:v>
      </x:c>
      <x:c r="E65" s="47" t="str">
        <x:v>S3 — Akcesoria dla palaczy/headshop</x:v>
      </x:c>
      <x:c r="F65" s="47" t="str">
        <x:v>Małopolskie</x:v>
      </x:c>
      <x:c r="G65" s="47" t="str"/>
      <x:c r="H65" s="47" t="str">
        <x:v>+48 697 590 090</x:v>
      </x:c>
      <x:c r="I65" s="47" t="str">
        <x:v>http://www.mona.com.pl</x:v>
      </x:c>
      <x:c r="J65" s="47" t="str">
        <x:v>email</x:v>
      </x:c>
      <x:c r="K65" s="47" t="str">
        <x:v>Dodać do kampanii regionalnej i wykonać follow-up telefoniczny</x:v>
      </x:c>
      <x:c r="L65" s="47" t="str">
        <x:v>Nowy</x:v>
      </x:c>
      <x:c r="M65" s="47" t="str">
        <x:v>http://www.mona.com.pl</x:v>
      </x:c>
      <x:c r="N65" s="95" t="str">
        <x:v>Status źródłowy: Niezweryfikowany</x:v>
      </x:c>
    </x:row>
    <x:row r="66">
      <x:c r="A66" s="23" t="n">
        <x:v>99</x:v>
      </x:c>
      <x:c r="B66" s="24" t="n">
        <x:v>69</x:v>
      </x:c>
      <x:c r="C66" s="24" t="str">
        <x:v>B — kampania regionalna</x:v>
      </x:c>
      <x:c r="D66" s="47" t="str">
        <x:v>Lever Hurtownia Alkoholu i Papierosów</x:v>
      </x:c>
      <x:c r="E66" s="47" t="str">
        <x:v>S3 — Akcesoria dla palaczy/headshop</x:v>
      </x:c>
      <x:c r="F66" s="47" t="str">
        <x:v>Lubelskie</x:v>
      </x:c>
      <x:c r="G66" s="47" t="str"/>
      <x:c r="H66" s="47" t="str">
        <x:v>+48 81 825 02 17</x:v>
      </x:c>
      <x:c r="I66" s="47" t="str">
        <x:v>https://leverkrasnik.pl</x:v>
      </x:c>
      <x:c r="J66" s="47" t="str">
        <x:v>email</x:v>
      </x:c>
      <x:c r="K66" s="47" t="str">
        <x:v>Dodać do kampanii regionalnej i wykonać follow-up telefoniczny</x:v>
      </x:c>
      <x:c r="L66" s="47" t="str">
        <x:v>Nowy</x:v>
      </x:c>
      <x:c r="M66" s="47" t="str">
        <x:v>https://leverkrasnik.pl</x:v>
      </x:c>
      <x:c r="N66" s="95" t="str">
        <x:v>Status źródłowy: Niezweryfikowany</x:v>
      </x:c>
    </x:row>
    <x:row r="67">
      <x:c r="A67" s="23" t="n">
        <x:v>100</x:v>
      </x:c>
      <x:c r="B67" s="24" t="n">
        <x:v>69</x:v>
      </x:c>
      <x:c r="C67" s="24" t="str">
        <x:v>B — kampania regionalna</x:v>
      </x:c>
      <x:c r="D67" s="47" t="str">
        <x:v>JUKA AKCESORIA TYTONIOWE JACEK MULARCZYK</x:v>
      </x:c>
      <x:c r="E67" s="47" t="str">
        <x:v>S3 — Akcesoria dla palaczy/headshop</x:v>
      </x:c>
      <x:c r="F67" s="47" t="str">
        <x:v>Pomorskie</x:v>
      </x:c>
      <x:c r="G67" s="47" t="str"/>
      <x:c r="H67" s="47" t="str">
        <x:v>+48 723 179 629</x:v>
      </x:c>
      <x:c r="I67" s="47" t="str">
        <x:v>https://jukaakcesoria.pl</x:v>
      </x:c>
      <x:c r="J67" s="47" t="str">
        <x:v>email</x:v>
      </x:c>
      <x:c r="K67" s="47" t="str">
        <x:v>Dodać do kampanii regionalnej i wykonać follow-up telefoniczny</x:v>
      </x:c>
      <x:c r="L67" s="47" t="str">
        <x:v>Nowy</x:v>
      </x:c>
      <x:c r="M67" s="47" t="str">
        <x:v>https://jukaakcesoria.pl</x:v>
      </x:c>
      <x:c r="N67" s="95" t="str">
        <x:v>Status źródłowy: Niezweryfikowany</x:v>
      </x:c>
    </x:row>
    <x:row r="68">
      <x:c r="A68" s="23" t="n">
        <x:v>101</x:v>
      </x:c>
      <x:c r="B68" s="24" t="n">
        <x:v>69</x:v>
      </x:c>
      <x:c r="C68" s="24" t="str">
        <x:v>B — kampania regionalna</x:v>
      </x:c>
      <x:c r="D68" s="47" t="str">
        <x:v>Hurtownia Papiernicza GRAFIT</x:v>
      </x:c>
      <x:c r="E68" s="47" t="str">
        <x:v>S3 — Akcesoria dla palaczy/headshop</x:v>
      </x:c>
      <x:c r="F68" s="47" t="str">
        <x:v>Kujawsko-pomorskie</x:v>
      </x:c>
      <x:c r="G68" s="47" t="str"/>
      <x:c r="H68" s="47" t="str">
        <x:v>+48 52 391 24 17</x:v>
      </x:c>
      <x:c r="I68" s="47" t="str">
        <x:v>http://hpgrafit.pl</x:v>
      </x:c>
      <x:c r="J68" s="47" t="str">
        <x:v>email</x:v>
      </x:c>
      <x:c r="K68" s="47" t="str">
        <x:v>Dodać do kampanii regionalnej i wykonać follow-up telefoniczny</x:v>
      </x:c>
      <x:c r="L68" s="47" t="str">
        <x:v>Nowy</x:v>
      </x:c>
      <x:c r="M68" s="47" t="str">
        <x:v>http://hpgrafit.pl</x:v>
      </x:c>
      <x:c r="N68" s="95" t="str">
        <x:v>Status źródłowy: Niezweryfikowany</x:v>
      </x:c>
    </x:row>
    <x:row r="69">
      <x:c r="A69" s="23" t="n">
        <x:v>102</x:v>
      </x:c>
      <x:c r="B69" s="24" t="n">
        <x:v>69</x:v>
      </x:c>
      <x:c r="C69" s="24" t="str">
        <x:v>B — kampania regionalna</x:v>
      </x:c>
      <x:c r="D69" s="47" t="str">
        <x:v>Hurtownia Centrum Wiesław Sacharski</x:v>
      </x:c>
      <x:c r="E69" s="47" t="str">
        <x:v>S3 — Akcesoria dla palaczy/headshop</x:v>
      </x:c>
      <x:c r="F69" s="47" t="str">
        <x:v>Mazowieckie</x:v>
      </x:c>
      <x:c r="G69" s="47" t="str"/>
      <x:c r="H69" s="47" t="str">
        <x:v>+48 29 766 42 22</x:v>
      </x:c>
      <x:c r="I69" s="47" t="str">
        <x:v>https://centrum-ws.pl</x:v>
      </x:c>
      <x:c r="J69" s="47" t="str">
        <x:v>email</x:v>
      </x:c>
      <x:c r="K69" s="47" t="str">
        <x:v>Dodać do kampanii regionalnej i wykonać follow-up telefoniczny</x:v>
      </x:c>
      <x:c r="L69" s="47" t="str">
        <x:v>Nowy</x:v>
      </x:c>
      <x:c r="M69" s="47" t="str">
        <x:v>https://centrum-ws.pl</x:v>
      </x:c>
      <x:c r="N69" s="95" t="str">
        <x:v>Status źródłowy: Niezweryfikowany</x:v>
      </x:c>
    </x:row>
    <x:row r="70">
      <x:c r="A70" s="23" t="n">
        <x:v>103</x:v>
      </x:c>
      <x:c r="B70" s="24" t="n">
        <x:v>69</x:v>
      </x:c>
      <x:c r="C70" s="24" t="str">
        <x:v>B — kampania regionalna</x:v>
      </x:c>
      <x:c r="D70" s="47" t="str">
        <x:v>Hero Sp. z o.o. PW. Hurtownia nabiałowo - spożywcza</x:v>
      </x:c>
      <x:c r="E70" s="47" t="str">
        <x:v>S3 — Akcesoria dla palaczy/headshop</x:v>
      </x:c>
      <x:c r="F70" s="47" t="str">
        <x:v>Kujawsko-pomorskie</x:v>
      </x:c>
      <x:c r="G70" s="47" t="str"/>
      <x:c r="H70" s="47" t="str">
        <x:v>+48 52 385 42 04</x:v>
      </x:c>
      <x:c r="I70" s="47" t="str">
        <x:v>http://www.hurtowniahero.pl</x:v>
      </x:c>
      <x:c r="J70" s="47" t="str">
        <x:v>email</x:v>
      </x:c>
      <x:c r="K70" s="47" t="str">
        <x:v>Dodać do kampanii regionalnej i wykonać follow-up telefoniczny</x:v>
      </x:c>
      <x:c r="L70" s="47" t="str">
        <x:v>Nowy</x:v>
      </x:c>
      <x:c r="M70" s="47" t="str">
        <x:v>http://www.hurtowniahero.pl</x:v>
      </x:c>
      <x:c r="N70" s="95" t="str">
        <x:v>Status źródłowy: Niezweryfikowany</x:v>
      </x:c>
    </x:row>
    <x:row r="71">
      <x:c r="A71" s="23" t="n">
        <x:v>104</x:v>
      </x:c>
      <x:c r="B71" s="24" t="n">
        <x:v>69</x:v>
      </x:c>
      <x:c r="C71" s="24" t="str">
        <x:v>B — kampania regionalna</x:v>
      </x:c>
      <x:c r="D71" s="47" t="str">
        <x:v>Frega Hurtownia Papierosów Oddział Tarnów</x:v>
      </x:c>
      <x:c r="E71" s="47" t="str">
        <x:v>S3 — Akcesoria dla palaczy/headshop</x:v>
      </x:c>
      <x:c r="F71" s="47" t="str">
        <x:v>Małopolskie</x:v>
      </x:c>
      <x:c r="G71" s="47" t="str"/>
      <x:c r="H71" s="47" t="str">
        <x:v>+48 14 626 87 17</x:v>
      </x:c>
      <x:c r="I71" s="47" t="str">
        <x:v>http://frega.com.pl</x:v>
      </x:c>
      <x:c r="J71" s="47" t="str">
        <x:v>email</x:v>
      </x:c>
      <x:c r="K71" s="47" t="str">
        <x:v>Dodać do kampanii regionalnej i wykonać follow-up telefoniczny</x:v>
      </x:c>
      <x:c r="L71" s="47" t="str">
        <x:v>Nowy</x:v>
      </x:c>
      <x:c r="M71" s="47" t="str">
        <x:v>http://frega.com.pl</x:v>
      </x:c>
      <x:c r="N71" s="95" t="str">
        <x:v>Status źródłowy: Niezweryfikowany</x:v>
      </x:c>
    </x:row>
    <x:row r="72">
      <x:c r="A72" s="23" t="n">
        <x:v>105</x:v>
      </x:c>
      <x:c r="B72" s="24" t="n">
        <x:v>69</x:v>
      </x:c>
      <x:c r="C72" s="24" t="str">
        <x:v>B — kampania regionalna</x:v>
      </x:c>
      <x:c r="D72" s="47" t="str">
        <x:v>Firma Handlowa Mariusz Kawa</x:v>
      </x:c>
      <x:c r="E72" s="47" t="str">
        <x:v>S3 — Akcesoria dla palaczy/headshop</x:v>
      </x:c>
      <x:c r="F72" s="47" t="str">
        <x:v>Małopolskie</x:v>
      </x:c>
      <x:c r="G72" s="47" t="str"/>
      <x:c r="H72" s="47" t="str">
        <x:v>+48 14 629 52 52</x:v>
      </x:c>
      <x:c r="I72" s="47" t="str">
        <x:v>http://www.squashtarnow.pl</x:v>
      </x:c>
      <x:c r="J72" s="47" t="str">
        <x:v>email</x:v>
      </x:c>
      <x:c r="K72" s="47" t="str">
        <x:v>Dodać do kampanii regionalnej i wykonać follow-up telefoniczny</x:v>
      </x:c>
      <x:c r="L72" s="47" t="str">
        <x:v>Nowy</x:v>
      </x:c>
      <x:c r="M72" s="47" t="str">
        <x:v>http://www.squashtarnow.pl</x:v>
      </x:c>
      <x:c r="N72" s="95" t="str">
        <x:v>Status źródłowy: Niezweryfikowany</x:v>
      </x:c>
    </x:row>
    <x:row r="73">
      <x:c r="A73" s="23" t="n">
        <x:v>106</x:v>
      </x:c>
      <x:c r="B73" s="24" t="n">
        <x:v>69</x:v>
      </x:c>
      <x:c r="C73" s="24" t="str">
        <x:v>B — kampania regionalna</x:v>
      </x:c>
      <x:c r="D73" s="47" t="str">
        <x:v>FLAJ | Sklep i Hurtownia w Augustowie</x:v>
      </x:c>
      <x:c r="E73" s="47" t="str">
        <x:v>S3 — Akcesoria dla palaczy/headshop</x:v>
      </x:c>
      <x:c r="F73" s="47" t="str">
        <x:v>Podlaskie</x:v>
      </x:c>
      <x:c r="G73" s="47" t="str"/>
      <x:c r="H73" s="47" t="str">
        <x:v>+48 87 644 53 58</x:v>
      </x:c>
      <x:c r="I73" s="47" t="str">
        <x:v>https://flaj.com.pl</x:v>
      </x:c>
      <x:c r="J73" s="47" t="str">
        <x:v>email</x:v>
      </x:c>
      <x:c r="K73" s="47" t="str">
        <x:v>Dodać do kampanii regionalnej i wykonać follow-up telefoniczny</x:v>
      </x:c>
      <x:c r="L73" s="47" t="str">
        <x:v>Nowy</x:v>
      </x:c>
      <x:c r="M73" s="47" t="str">
        <x:v>https://flaj.com.pl</x:v>
      </x:c>
      <x:c r="N73" s="95" t="str">
        <x:v>Status źródłowy: Niezweryfikowany</x:v>
      </x:c>
    </x:row>
    <x:row r="74">
      <x:c r="A74" s="23" t="n">
        <x:v>107</x:v>
      </x:c>
      <x:c r="B74" s="24" t="n">
        <x:v>69</x:v>
      </x:c>
      <x:c r="C74" s="24" t="str">
        <x:v>B — kampania regionalna</x:v>
      </x:c>
      <x:c r="D74" s="47" t="str">
        <x:v>Eurocash Cash &amp; Carry Wągrowiec - Hurtownia spożywcza</x:v>
      </x:c>
      <x:c r="E74" s="47" t="str">
        <x:v>S3 — Akcesoria dla palaczy/headshop</x:v>
      </x:c>
      <x:c r="F74" s="47" t="str">
        <x:v>Opolskie</x:v>
      </x:c>
      <x:c r="G74" s="47" t="str"/>
      <x:c r="H74" s="47" t="str">
        <x:v>+48 67 268 52 12</x:v>
      </x:c>
      <x:c r="I74" s="47" t="str">
        <x:v>https://hurtownie.eurocash.pl/kontakt/mapa-hurtowni/hurtownie.html?provinceId=8&amp;cityId=112</x:v>
      </x:c>
      <x:c r="J74" s="47" t="str">
        <x:v>email</x:v>
      </x:c>
      <x:c r="K74" s="47" t="str">
        <x:v>Dodać do kampanii regionalnej i wykonać follow-up telefoniczny</x:v>
      </x:c>
      <x:c r="L74" s="47" t="str">
        <x:v>Nowy</x:v>
      </x:c>
      <x:c r="M74" s="47" t="str">
        <x:v>https://hurtownie.eurocash.pl/kontakt/mapa-hurtowni/hurtownie.html?provinceId=8&amp;cityId=112</x:v>
      </x:c>
      <x:c r="N74" s="95" t="str">
        <x:v>Status źródłowy: Niezweryfikowany</x:v>
      </x:c>
    </x:row>
    <x:row r="75">
      <x:c r="A75" s="23" t="n">
        <x:v>108</x:v>
      </x:c>
      <x:c r="B75" s="24" t="n">
        <x:v>69</x:v>
      </x:c>
      <x:c r="C75" s="24" t="str">
        <x:v>B — kampania regionalna</x:v>
      </x:c>
      <x:c r="D75" s="47" t="str">
        <x:v>Elroy sp.j. Biuro handlowe</x:v>
      </x:c>
      <x:c r="E75" s="47" t="str">
        <x:v>S3 — Akcesoria dla palaczy/headshop</x:v>
      </x:c>
      <x:c r="F75" s="47" t="str">
        <x:v>Kujawsko-pomorskie</x:v>
      </x:c>
      <x:c r="G75" s="47" t="str"/>
      <x:c r="H75" s="47" t="str">
        <x:v>+48 54 231 17 10</x:v>
      </x:c>
      <x:c r="I75" s="47" t="str">
        <x:v>http://www.elroy.pl</x:v>
      </x:c>
      <x:c r="J75" s="47" t="str">
        <x:v>email</x:v>
      </x:c>
      <x:c r="K75" s="47" t="str">
        <x:v>Dodać do kampanii regionalnej i wykonać follow-up telefoniczny</x:v>
      </x:c>
      <x:c r="L75" s="47" t="str">
        <x:v>Nowy</x:v>
      </x:c>
      <x:c r="M75" s="47" t="str">
        <x:v>http://www.elroy.pl</x:v>
      </x:c>
      <x:c r="N75" s="95" t="str">
        <x:v>Status źródłowy: Niezweryfikowany</x:v>
      </x:c>
    </x:row>
    <x:row r="76">
      <x:c r="A76" s="23" t="n">
        <x:v>109</x:v>
      </x:c>
      <x:c r="B76" s="24" t="n">
        <x:v>69</x:v>
      </x:c>
      <x:c r="C76" s="24" t="str">
        <x:v>B — kampania regionalna</x:v>
      </x:c>
      <x:c r="D76" s="47" t="str">
        <x:v>Carmen Polska Sp. z o.o.</x:v>
      </x:c>
      <x:c r="E76" s="47" t="str">
        <x:v>S3 — Akcesoria dla palaczy/headshop</x:v>
      </x:c>
      <x:c r="F76" s="47" t="str">
        <x:v>Mazowieckie</x:v>
      </x:c>
      <x:c r="G76" s="47" t="str"/>
      <x:c r="H76" s="47" t="str">
        <x:v>+48 22 868 14 49</x:v>
      </x:c>
      <x:c r="I76" s="47" t="str">
        <x:v>http://carmen.biz.pl</x:v>
      </x:c>
      <x:c r="J76" s="47" t="str">
        <x:v>email</x:v>
      </x:c>
      <x:c r="K76" s="47" t="str">
        <x:v>Dodać do kampanii regionalnej i wykonać follow-up telefoniczny</x:v>
      </x:c>
      <x:c r="L76" s="47" t="str">
        <x:v>Nowy</x:v>
      </x:c>
      <x:c r="M76" s="47" t="str">
        <x:v>http://carmen.biz.pl</x:v>
      </x:c>
      <x:c r="N76" s="95" t="str">
        <x:v>Status źródłowy: Niezweryfikowany</x:v>
      </x:c>
    </x:row>
    <x:row r="77">
      <x:c r="A77" s="23" t="n">
        <x:v>110</x:v>
      </x:c>
      <x:c r="B77" s="24" t="n">
        <x:v>69</x:v>
      </x:c>
      <x:c r="C77" s="24" t="str">
        <x:v>B — kampania regionalna</x:v>
      </x:c>
      <x:c r="D77" s="47" t="str">
        <x:v>ASW Trafika</x:v>
      </x:c>
      <x:c r="E77" s="47" t="str">
        <x:v>S3 — Akcesoria dla palaczy/headshop</x:v>
      </x:c>
      <x:c r="F77" s="47" t="str">
        <x:v>Kujawsko-pomorskie</x:v>
      </x:c>
      <x:c r="G77" s="47" t="str"/>
      <x:c r="H77" s="47" t="str">
        <x:v>+48 730 720 551</x:v>
      </x:c>
      <x:c r="I77" s="47" t="str">
        <x:v>https://web.facebook.com/ASW-Trafika-Sklep-Tytoniowy-486411178214372</x:v>
      </x:c>
      <x:c r="J77" s="47" t="str">
        <x:v>email</x:v>
      </x:c>
      <x:c r="K77" s="47" t="str">
        <x:v>Dodać do kampanii regionalnej i wykonać follow-up telefoniczny</x:v>
      </x:c>
      <x:c r="L77" s="47" t="str">
        <x:v>Nowy</x:v>
      </x:c>
      <x:c r="M77" s="47" t="str">
        <x:v>https://web.facebook.com/ASW-Trafika-Sklep-Tytoniowy-486411178214372</x:v>
      </x:c>
      <x:c r="N77" s="95" t="str">
        <x:v>Status źródłowy: Niezweryfikowany</x:v>
      </x:c>
    </x:row>
    <x:row r="78">
      <x:c r="A78" s="23" t="n">
        <x:v>111</x:v>
      </x:c>
      <x:c r="B78" s="24" t="n">
        <x:v>69</x:v>
      </x:c>
      <x:c r="C78" s="24" t="str">
        <x:v>B — kampania regionalna</x:v>
      </x:c>
      <x:c r="D78" s="47" t="str">
        <x:v>ABC. Hurtownia papierosów, art. chemiczno - kosmetyczno - higienicznych, Krówka Kaszubska</x:v>
      </x:c>
      <x:c r="E78" s="47" t="str">
        <x:v>S3 — Akcesoria dla palaczy/headshop</x:v>
      </x:c>
      <x:c r="F78" s="47" t="str">
        <x:v>Pomorskie</x:v>
      </x:c>
      <x:c r="G78" s="47" t="str"/>
      <x:c r="H78" s="47" t="str">
        <x:v>+48 58 674 24 40</x:v>
      </x:c>
      <x:c r="I78" s="47" t="str">
        <x:v>http://www.hurtabc.pl</x:v>
      </x:c>
      <x:c r="J78" s="47" t="str">
        <x:v>email</x:v>
      </x:c>
      <x:c r="K78" s="47" t="str">
        <x:v>Dodać do kampanii regionalnej i wykonać follow-up telefoniczny</x:v>
      </x:c>
      <x:c r="L78" s="47" t="str">
        <x:v>Nowy</x:v>
      </x:c>
      <x:c r="M78" s="47" t="str">
        <x:v>http://www.hurtabc.pl</x:v>
      </x:c>
      <x:c r="N78" s="95" t="str">
        <x:v>Status źródłowy: Niezweryfikowany</x:v>
      </x:c>
    </x:row>
    <x:row r="79">
      <x:c r="A79" s="23" t="n">
        <x:v>113</x:v>
      </x:c>
      <x:c r="B79" s="24" t="n">
        <x:v>68</x:v>
      </x:c>
      <x:c r="C79" s="24" t="str">
        <x:v>B — kampania regionalna</x:v>
      </x:c>
      <x:c r="D79" s="47" t="str">
        <x:v>Hurtownia papierosów — Szczytno</x:v>
      </x:c>
      <x:c r="E79" s="47" t="str">
        <x:v>S2 — Hurtownie tytoniowe/FMCG</x:v>
      </x:c>
      <x:c r="F79" s="47" t="str">
        <x:v>Warmińsko-mazurskie</x:v>
      </x:c>
      <x:c r="G79" s="47" t="str"/>
      <x:c r="H79" s="47" t="str">
        <x:v>+48 89 624 07 57</x:v>
      </x:c>
      <x:c r="I79" s="47" t="str"/>
      <x:c r="J79" s="47" t="str">
        <x:v>email, WWW</x:v>
      </x:c>
      <x:c r="K79" s="47" t="str">
        <x:v>Dodać do kampanii regionalnej i wykonać follow-up telefoniczny</x:v>
      </x:c>
      <x:c r="L79" s="47" t="str">
        <x:v>Nowy</x:v>
      </x:c>
      <x:c r="M79" s="47" t="str">
        <x:v>https://www.pkt.pl/szukaj/hurtownia-papierosow</x:v>
      </x:c>
      <x:c r="N79" s="95" t="str">
        <x:v>Status źródłowy: Do weryfikacji — katalog</x:v>
      </x:c>
    </x:row>
    <x:row r="80">
      <x:c r="A80" s="23" t="n">
        <x:v>114</x:v>
      </x:c>
      <x:c r="B80" s="24" t="n">
        <x:v>68</x:v>
      </x:c>
      <x:c r="C80" s="24" t="str">
        <x:v>B — kampania regionalna</x:v>
      </x:c>
      <x:c r="D80" s="47" t="str">
        <x:v>Hurtownia papierosów — Mostki</x:v>
      </x:c>
      <x:c r="E80" s="47" t="str">
        <x:v>S2 — Hurtownie tytoniowe/FMCG</x:v>
      </x:c>
      <x:c r="F80" s="47" t="str">
        <x:v>Lubuskie</x:v>
      </x:c>
      <x:c r="G80" s="47" t="str"/>
      <x:c r="H80" s="47" t="str">
        <x:v>+48 68 381 12 26</x:v>
      </x:c>
      <x:c r="I80" s="47" t="str"/>
      <x:c r="J80" s="47" t="str">
        <x:v>email, WWW</x:v>
      </x:c>
      <x:c r="K80" s="47" t="str">
        <x:v>Dodać do kampanii regionalnej i wykonać follow-up telefoniczny</x:v>
      </x:c>
      <x:c r="L80" s="47" t="str">
        <x:v>Nowy</x:v>
      </x:c>
      <x:c r="M80" s="47" t="str">
        <x:v>https://www.pkt.pl/szukaj/hurtownia-papierosow</x:v>
      </x:c>
      <x:c r="N80" s="95" t="str">
        <x:v>Status źródłowy: Do weryfikacji — katalog</x:v>
      </x:c>
    </x:row>
    <x:row r="81">
      <x:c r="A81" s="23" t="n">
        <x:v>115</x:v>
      </x:c>
      <x:c r="B81" s="24" t="n">
        <x:v>68</x:v>
      </x:c>
      <x:c r="C81" s="24" t="str">
        <x:v>B — kampania regionalna</x:v>
      </x:c>
      <x:c r="D81" s="47" t="str">
        <x:v>Hurtownia papierosów — Koluszki</x:v>
      </x:c>
      <x:c r="E81" s="47" t="str">
        <x:v>S2 — Hurtownie tytoniowe/FMCG</x:v>
      </x:c>
      <x:c r="F81" s="47" t="str">
        <x:v>Łódzkie</x:v>
      </x:c>
      <x:c r="G81" s="47" t="str"/>
      <x:c r="H81" s="47" t="str">
        <x:v>+48 601 153 355</x:v>
      </x:c>
      <x:c r="I81" s="47" t="str"/>
      <x:c r="J81" s="47" t="str">
        <x:v>email, WWW</x:v>
      </x:c>
      <x:c r="K81" s="47" t="str">
        <x:v>Dodać do kampanii regionalnej i wykonać follow-up telefoniczny</x:v>
      </x:c>
      <x:c r="L81" s="47" t="str">
        <x:v>Nowy</x:v>
      </x:c>
      <x:c r="M81" s="47" t="str">
        <x:v>https://www.pkt.pl/szukaj/hurtownia-papierosow</x:v>
      </x:c>
      <x:c r="N81" s="95" t="str">
        <x:v>Status źródłowy: Do weryfikacji — katalog</x:v>
      </x:c>
    </x:row>
    <x:row r="82">
      <x:c r="A82" s="23" t="n">
        <x:v>116</x:v>
      </x:c>
      <x:c r="B82" s="24" t="n">
        <x:v>68</x:v>
      </x:c>
      <x:c r="C82" s="24" t="str">
        <x:v>B — kampania regionalna</x:v>
      </x:c>
      <x:c r="D82" s="47" t="str">
        <x:v>Hurtownia papierosów — Czerwionka-Leszczyny</x:v>
      </x:c>
      <x:c r="E82" s="47" t="str">
        <x:v>S2 — Hurtownie tytoniowe/FMCG</x:v>
      </x:c>
      <x:c r="F82" s="47" t="str">
        <x:v>Śląskie</x:v>
      </x:c>
      <x:c r="G82" s="47" t="str"/>
      <x:c r="H82" s="47" t="str">
        <x:v>+48 32 431 37 62</x:v>
      </x:c>
      <x:c r="I82" s="47" t="str"/>
      <x:c r="J82" s="47" t="str">
        <x:v>email, WWW</x:v>
      </x:c>
      <x:c r="K82" s="47" t="str">
        <x:v>Dodać do kampanii regionalnej i wykonać follow-up telefoniczny</x:v>
      </x:c>
      <x:c r="L82" s="47" t="str">
        <x:v>Nowy</x:v>
      </x:c>
      <x:c r="M82" s="47" t="str">
        <x:v>https://www.pkt.pl/szukaj/hurtownia-papierosow</x:v>
      </x:c>
      <x:c r="N82" s="95" t="str">
        <x:v>Status źródłowy: Do weryfikacji — katalog</x:v>
      </x:c>
    </x:row>
    <x:row r="83">
      <x:c r="A83" s="23" t="n">
        <x:v>117</x:v>
      </x:c>
      <x:c r="B83" s="24" t="n">
        <x:v>68</x:v>
      </x:c>
      <x:c r="C83" s="24" t="str">
        <x:v>B — kampania regionalna</x:v>
      </x:c>
      <x:c r="D83" s="47" t="str">
        <x:v>EM — hurtownia papierosów, artykułów przemysłowych i spożywczych</x:v>
      </x:c>
      <x:c r="E83" s="47" t="str">
        <x:v>S2 — Hurtownie tytoniowe/FMCG</x:v>
      </x:c>
      <x:c r="F83" s="47" t="str">
        <x:v>Łódzkie</x:v>
      </x:c>
      <x:c r="G83" s="47" t="str"/>
      <x:c r="H83" s="47" t="str">
        <x:v>+48 24 721 22 97</x:v>
      </x:c>
      <x:c r="I83" s="47" t="str"/>
      <x:c r="J83" s="47" t="str">
        <x:v>email, WWW</x:v>
      </x:c>
      <x:c r="K83" s="47" t="str">
        <x:v>Dodać do kampanii regionalnej i wykonać follow-up telefoniczny</x:v>
      </x:c>
      <x:c r="L83" s="47" t="str">
        <x:v>Nowy</x:v>
      </x:c>
      <x:c r="M83" s="47" t="str">
        <x:v>https://www.pkt.pl/szukaj/hurtownia-papierosow</x:v>
      </x:c>
      <x:c r="N83" s="95" t="str">
        <x:v>Status źródłowy: Do weryfikacji — katalog</x:v>
      </x:c>
    </x:row>
    <x:row r="84">
      <x:c r="A84" s="23" t="n">
        <x:v>118</x:v>
      </x:c>
      <x:c r="B84" s="24" t="n">
        <x:v>68</x:v>
      </x:c>
      <x:c r="C84" s="24" t="str">
        <x:v>B — kampania regionalna</x:v>
      </x:c>
      <x:c r="D84" s="47" t="str">
        <x:v>Dzidek — Hurtownia papierosów, oddział Gdańsk</x:v>
      </x:c>
      <x:c r="E84" s="47" t="str">
        <x:v>S2 — Hurtownie tytoniowe/FMCG</x:v>
      </x:c>
      <x:c r="F84" s="47" t="str">
        <x:v>Pomorskie</x:v>
      </x:c>
      <x:c r="G84" s="47" t="str"/>
      <x:c r="H84" s="47" t="str">
        <x:v>+48 58 341 88 38</x:v>
      </x:c>
      <x:c r="I84" s="47" t="str"/>
      <x:c r="J84" s="47" t="str">
        <x:v>email, WWW</x:v>
      </x:c>
      <x:c r="K84" s="47" t="str">
        <x:v>Dodać do kampanii regionalnej i wykonać follow-up telefoniczny</x:v>
      </x:c>
      <x:c r="L84" s="47" t="str">
        <x:v>Nowy</x:v>
      </x:c>
      <x:c r="M84" s="47" t="str">
        <x:v>https://www.pkt.pl/szukaj/hurtownia-papierosow</x:v>
      </x:c>
      <x:c r="N84" s="95" t="str">
        <x:v>Dodano jako osobny lead, ponieważ w starszej bazie nazwa była ukryta w niepowiązanym polu name_alt. | Status źródłowy: Do weryfikacji — katalog</x:v>
      </x:c>
    </x:row>
    <x:row r="85">
      <x:c r="A85" s="23" t="n">
        <x:v>119</x:v>
      </x:c>
      <x:c r="B85" s="24" t="n">
        <x:v>68</x:v>
      </x:c>
      <x:c r="C85" s="24" t="str">
        <x:v>B — kampania regionalna</x:v>
      </x:c>
      <x:c r="D85" s="47" t="str">
        <x:v>ABC — Hurtownia papierosów, Z. Bonkowski</x:v>
      </x:c>
      <x:c r="E85" s="47" t="str">
        <x:v>S2 — Hurtownie tytoniowe/FMCG</x:v>
      </x:c>
      <x:c r="F85" s="47" t="str">
        <x:v>Pomorskie</x:v>
      </x:c>
      <x:c r="G85" s="47" t="str"/>
      <x:c r="H85" s="47" t="str">
        <x:v>+48 58 686 33 02</x:v>
      </x:c>
      <x:c r="I85" s="47" t="str"/>
      <x:c r="J85" s="47" t="str">
        <x:v>email, WWW</x:v>
      </x:c>
      <x:c r="K85" s="47" t="str">
        <x:v>Dodać do kampanii regionalnej i wykonać follow-up telefoniczny</x:v>
      </x:c>
      <x:c r="L85" s="47" t="str">
        <x:v>Nowy</x:v>
      </x:c>
      <x:c r="M85" s="47" t="str">
        <x:v>https://www.pkt.pl/szukaj/hurtownia-papierosow</x:v>
      </x:c>
      <x:c r="N85" s="95" t="str">
        <x:v>Status źródłowy: Do weryfikacji — katalog</x:v>
      </x:c>
    </x:row>
    <x:row r="86">
      <x:c r="A86" s="23" t="n">
        <x:v>120</x:v>
      </x:c>
      <x:c r="B86" s="24" t="n">
        <x:v>68</x:v>
      </x:c>
      <x:c r="C86" s="24" t="str">
        <x:v>B — kampania regionalna</x:v>
      </x:c>
      <x:c r="D86" s="47" t="str">
        <x:v>sstrzelec (Allegro)</x:v>
      </x:c>
      <x:c r="E86" s="47" t="str">
        <x:v>S1 — RYO/MYO, gilzy i nabijarki</x:v>
      </x:c>
      <x:c r="F86" s="47" t="str">
        <x:v>Nieustalony</x:v>
      </x:c>
      <x:c r="G86" s="47" t="str"/>
      <x:c r="H86" s="47" t="str"/>
      <x:c r="I86" s="47" t="str">
        <x:v>https://allegro.pl/uzytkownik/sstrzelec</x:v>
      </x:c>
      <x:c r="J86" s="47" t="str">
        <x:v>email, telefon</x:v>
      </x:c>
      <x:c r="K86" s="47" t="str">
        <x:v>Dodać do kampanii regionalnej i wykonać follow-up telefoniczny</x:v>
      </x:c>
      <x:c r="L86" s="47" t="str">
        <x:v>Nowy</x:v>
      </x:c>
      <x:c r="M86" s="47" t="str">
        <x:v>https://allegro.pl/uzytkownik/sstrzelec</x:v>
      </x:c>
      <x:c r="N86" s="95" t="str">
        <x:v>Status źródłowy: Aktywny</x:v>
      </x:c>
    </x:row>
    <x:row r="87">
      <x:c r="A87" s="23" t="n">
        <x:v>121</x:v>
      </x:c>
      <x:c r="B87" s="24" t="n">
        <x:v>68</x:v>
      </x:c>
      <x:c r="C87" s="24" t="str">
        <x:v>B — kampania regionalna</x:v>
      </x:c>
      <x:c r="D87" s="47" t="str">
        <x:v>Mewa Hurtownia Marciniak Jerzy</x:v>
      </x:c>
      <x:c r="E87" s="47" t="str">
        <x:v>S2 — Hurtownie tytoniowe/FMCG</x:v>
      </x:c>
      <x:c r="F87" s="47" t="str">
        <x:v>Mazowieckie</x:v>
      </x:c>
      <x:c r="G87" s="47" t="str"/>
      <x:c r="H87" s="47" t="str"/>
      <x:c r="I87" s="47" t="str">
        <x:v>https://minskmaz.com/firmy/pap...</x:v>
      </x:c>
      <x:c r="J87" s="47" t="str">
        <x:v>email, telefon</x:v>
      </x:c>
      <x:c r="K87" s="47" t="str">
        <x:v>Dodać do kampanii regionalnej i wykonać follow-up telefoniczny</x:v>
      </x:c>
      <x:c r="L87" s="47" t="str">
        <x:v>Nowy</x:v>
      </x:c>
      <x:c r="M87" s="47" t="str">
        <x:v>https://minskmaz.com/firmy/pap...</x:v>
      </x:c>
      <x:c r="N87" s="95" t="str">
        <x:v>Nie potwierdzone | Status źródłowy: Niezweryfikowany</x:v>
      </x:c>
    </x:row>
    <x:row r="88">
      <x:c r="A88" s="23" t="n">
        <x:v>122</x:v>
      </x:c>
      <x:c r="B88" s="24" t="n">
        <x:v>68</x:v>
      </x:c>
      <x:c r="C88" s="24" t="str">
        <x:v>B — kampania regionalna</x:v>
      </x:c>
      <x:c r="D88" s="47" t="str">
        <x:v>KDWT S.A.</x:v>
      </x:c>
      <x:c r="E88" s="47" t="str">
        <x:v>S2 — Hurtownie tytoniowe/FMCG</x:v>
      </x:c>
      <x:c r="F88" s="47" t="str">
        <x:v>Opolskie</x:v>
      </x:c>
      <x:c r="G88" s="47" t="str"/>
      <x:c r="H88" s="47" t="str"/>
      <x:c r="I88" s="47" t="str">
        <x:v>https://biznesfinder.pl/opole/...</x:v>
      </x:c>
      <x:c r="J88" s="47" t="str">
        <x:v>email, telefon</x:v>
      </x:c>
      <x:c r="K88" s="47" t="str">
        <x:v>Dodać do kampanii regionalnej i wykonać follow-up telefoniczny</x:v>
      </x:c>
      <x:c r="L88" s="47" t="str">
        <x:v>Nowy</x:v>
      </x:c>
      <x:c r="M88" s="47" t="str">
        <x:v>https://biznesfinder.pl/opole/...</x:v>
      </x:c>
      <x:c r="N88" s="95" t="str">
        <x:v>Nie potwierdzone | Status źródłowy: Niezweryfikowany</x:v>
      </x:c>
    </x:row>
    <x:row r="89">
      <x:c r="A89" s="23" t="n">
        <x:v>123</x:v>
      </x:c>
      <x:c r="B89" s="24" t="n">
        <x:v>68</x:v>
      </x:c>
      <x:c r="C89" s="24" t="str">
        <x:v>B — kampania regionalna</x:v>
      </x:c>
      <x:c r="D89" s="47" t="str">
        <x:v>JAR — Hurtownia Papierosów i Chemii Gospodarczej</x:v>
      </x:c>
      <x:c r="E89" s="47" t="str">
        <x:v>S2 — Hurtownie tytoniowe/FMCG</x:v>
      </x:c>
      <x:c r="F89" s="47" t="str">
        <x:v>Lubelskie</x:v>
      </x:c>
      <x:c r="G89" s="47" t="str"/>
      <x:c r="H89" s="47" t="str"/>
      <x:c r="I89" s="47" t="str">
        <x:v>https://w-lubelskie.pl/jar-hur...</x:v>
      </x:c>
      <x:c r="J89" s="47" t="str">
        <x:v>email, telefon</x:v>
      </x:c>
      <x:c r="K89" s="47" t="str">
        <x:v>Dodać do kampanii regionalnej i wykonać follow-up telefoniczny</x:v>
      </x:c>
      <x:c r="L89" s="47" t="str">
        <x:v>Nowy</x:v>
      </x:c>
      <x:c r="M89" s="47" t="str">
        <x:v>https://w-lubelskie.pl/jar-hur...</x:v>
      </x:c>
      <x:c r="N89" s="95" t="str">
        <x:v>Nie potwierdzone | Status źródłowy: Niezweryfikowany</x:v>
      </x:c>
    </x:row>
    <x:row r="90">
      <x:c r="A90" s="23" t="n">
        <x:v>124</x:v>
      </x:c>
      <x:c r="B90" s="24" t="n">
        <x:v>68</x:v>
      </x:c>
      <x:c r="C90" s="24" t="str">
        <x:v>B — kampania regionalna</x:v>
      </x:c>
      <x:c r="D90" s="47" t="str">
        <x:v>Irba — Zakład Obrotu Towarowego</x:v>
      </x:c>
      <x:c r="E90" s="47" t="str">
        <x:v>S2 — Hurtownie tytoniowe/FMCG</x:v>
      </x:c>
      <x:c r="F90" s="47" t="str">
        <x:v>Dolnośląskie</x:v>
      </x:c>
      <x:c r="G90" s="47" t="str"/>
      <x:c r="H90" s="47" t="str"/>
      <x:c r="I90" s="47" t="str">
        <x:v>https://gowork.pl/dyl-jaroslaw...</x:v>
      </x:c>
      <x:c r="J90" s="47" t="str">
        <x:v>email, telefon</x:v>
      </x:c>
      <x:c r="K90" s="47" t="str">
        <x:v>Dodać do kampanii regionalnej i wykonać follow-up telefoniczny</x:v>
      </x:c>
      <x:c r="L90" s="47" t="str">
        <x:v>Nowy</x:v>
      </x:c>
      <x:c r="M90" s="47" t="str">
        <x:v>https://gowork.pl/dyl-jaroslaw...</x:v>
      </x:c>
      <x:c r="N90" s="95" t="str">
        <x:v>Nie potwierdzone | Status źródłowy: Niezweryfikowany</x:v>
      </x:c>
    </x:row>
    <x:row r="91">
      <x:c r="A91" s="23" t="n">
        <x:v>125</x:v>
      </x:c>
      <x:c r="B91" s="24" t="n">
        <x:v>68</x:v>
      </x:c>
      <x:c r="C91" s="24" t="str">
        <x:v>B — kampania regionalna</x:v>
      </x:c>
      <x:c r="D91" s="47" t="str">
        <x:v>Hurtownia Papierosów Mars</x:v>
      </x:c>
      <x:c r="E91" s="47" t="str">
        <x:v>S2 — Hurtownie tytoniowe/FMCG</x:v>
      </x:c>
      <x:c r="F91" s="47" t="str">
        <x:v>Lubelskie</x:v>
      </x:c>
      <x:c r="G91" s="47" t="str"/>
      <x:c r="H91" s="47" t="str"/>
      <x:c r="I91" s="47" t="str">
        <x:v>https://yelp.com/biz/hurtownia...</x:v>
      </x:c>
      <x:c r="J91" s="47" t="str">
        <x:v>email, telefon</x:v>
      </x:c>
      <x:c r="K91" s="47" t="str">
        <x:v>Dodać do kampanii regionalnej i wykonać follow-up telefoniczny</x:v>
      </x:c>
      <x:c r="L91" s="47" t="str">
        <x:v>Nowy</x:v>
      </x:c>
      <x:c r="M91" s="47" t="str">
        <x:v>https://yelp.com/biz/hurtownia...</x:v>
      </x:c>
      <x:c r="N91" s="95" t="str">
        <x:v>Nie potwierdzone | Status źródłowy: Niezweryfikowany</x:v>
      </x:c>
    </x:row>
    <x:row r="92">
      <x:c r="A92" s="23" t="n">
        <x:v>126</x:v>
      </x:c>
      <x:c r="B92" s="24" t="n">
        <x:v>68</x:v>
      </x:c>
      <x:c r="C92" s="24" t="str">
        <x:v>B — kampania regionalna</x:v>
      </x:c>
      <x:c r="D92" s="47" t="str">
        <x:v>Dymek — Hurtownia Papierosów</x:v>
      </x:c>
      <x:c r="E92" s="47" t="str">
        <x:v>S2 — Hurtownie tytoniowe/FMCG</x:v>
      </x:c>
      <x:c r="F92" s="47" t="str">
        <x:v>Małopolskie</x:v>
      </x:c>
      <x:c r="G92" s="47" t="str"/>
      <x:c r="H92" s="47" t="str"/>
      <x:c r="I92" s="47" t="str">
        <x:v>https://dymek.com.pl</x:v>
      </x:c>
      <x:c r="J92" s="47" t="str">
        <x:v>email, telefon</x:v>
      </x:c>
      <x:c r="K92" s="47" t="str">
        <x:v>Dodać do kampanii regionalnej i wykonać follow-up telefoniczny</x:v>
      </x:c>
      <x:c r="L92" s="47" t="str">
        <x:v>Nowy</x:v>
      </x:c>
      <x:c r="M92" s="47" t="str">
        <x:v>https://dymek.com.pl</x:v>
      </x:c>
      <x:c r="N92" s="95" t="str">
        <x:v>Nie potwierdzone | Status źródłowy: Niezweryfikowany</x:v>
      </x:c>
    </x:row>
    <x:row r="93">
      <x:c r="A93" s="23" t="n">
        <x:v>127</x:v>
      </x:c>
      <x:c r="B93" s="24" t="n">
        <x:v>68</x:v>
      </x:c>
      <x:c r="C93" s="24" t="str">
        <x:v>B — kampania regionalna</x:v>
      </x:c>
      <x:c r="D93" s="47" t="str">
        <x:v>Czechomax</x:v>
      </x:c>
      <x:c r="E93" s="47" t="str">
        <x:v>S2 — Hurtownie tytoniowe/FMCG</x:v>
      </x:c>
      <x:c r="F93" s="47" t="str">
        <x:v>Dolnośląskie</x:v>
      </x:c>
      <x:c r="G93" s="47" t="str"/>
      <x:c r="H93" s="47" t="str"/>
      <x:c r="I93" s="47" t="str">
        <x:v>https://czechomax.pl</x:v>
      </x:c>
      <x:c r="J93" s="47" t="str">
        <x:v>email, telefon</x:v>
      </x:c>
      <x:c r="K93" s="47" t="str">
        <x:v>Dodać do kampanii regionalnej i wykonać follow-up telefoniczny</x:v>
      </x:c>
      <x:c r="L93" s="47" t="str">
        <x:v>Nowy</x:v>
      </x:c>
      <x:c r="M93" s="47" t="str">
        <x:v>https://czechomax.pl</x:v>
      </x:c>
      <x:c r="N93" s="95" t="str">
        <x:v>Nie potwierdzone | Status źródłowy: Niezweryfikowany</x:v>
      </x:c>
    </x:row>
    <x:row r="94">
      <x:c r="A94" s="23" t="n">
        <x:v>128</x:v>
      </x:c>
      <x:c r="B94" s="24" t="n">
        <x:v>68</x:v>
      </x:c>
      <x:c r="C94" s="24" t="str">
        <x:v>B — kampania regionalna</x:v>
      </x:c>
      <x:c r="D94" s="47" t="str">
        <x:v>BESTMAR — Hurtownia Wielobranżowa</x:v>
      </x:c>
      <x:c r="E94" s="47" t="str">
        <x:v>S2 — Hurtownie tytoniowe/FMCG</x:v>
      </x:c>
      <x:c r="F94" s="47" t="str">
        <x:v>Podkarpackie</x:v>
      </x:c>
      <x:c r="G94" s="47" t="str"/>
      <x:c r="H94" s="47" t="str"/>
      <x:c r="I94" s="47" t="str">
        <x:v>https://agrohurtsa.pl/kontrahe...</x:v>
      </x:c>
      <x:c r="J94" s="47" t="str">
        <x:v>email, telefon</x:v>
      </x:c>
      <x:c r="K94" s="47" t="str">
        <x:v>Dodać do kampanii regionalnej i wykonać follow-up telefoniczny</x:v>
      </x:c>
      <x:c r="L94" s="47" t="str">
        <x:v>Nowy</x:v>
      </x:c>
      <x:c r="M94" s="47" t="str">
        <x:v>https://agrohurtsa.pl/kontrahe...</x:v>
      </x:c>
      <x:c r="N94" s="95" t="str">
        <x:v>Nie potwierdzone | Status źródłowy: Niezweryfikowany</x:v>
      </x:c>
    </x:row>
    <x:row r="95">
      <x:c r="A95" s="23" t="n">
        <x:v>129</x:v>
      </x:c>
      <x:c r="B95" s="24" t="n">
        <x:v>68</x:v>
      </x:c>
      <x:c r="C95" s="24" t="str">
        <x:v>B — kampania regionalna</x:v>
      </x:c>
      <x:c r="D95" s="47" t="str">
        <x:v>Artus FHU</x:v>
      </x:c>
      <x:c r="E95" s="47" t="str">
        <x:v>S2 — Hurtownie tytoniowe/FMCG</x:v>
      </x:c>
      <x:c r="F95" s="47" t="str">
        <x:v>Kujawsko-pomorskie</x:v>
      </x:c>
      <x:c r="G95" s="47" t="str"/>
      <x:c r="H95" s="47" t="str"/>
      <x:c r="I95" s="47" t="str">
        <x:v>https://pkt.pl/szukaj/hurtowni...</x:v>
      </x:c>
      <x:c r="J95" s="47" t="str">
        <x:v>email, telefon</x:v>
      </x:c>
      <x:c r="K95" s="47" t="str">
        <x:v>Dodać do kampanii regionalnej i wykonać follow-up telefoniczny</x:v>
      </x:c>
      <x:c r="L95" s="47" t="str">
        <x:v>Nowy</x:v>
      </x:c>
      <x:c r="M95" s="47" t="str">
        <x:v>https://pkt.pl/szukaj/hurtowni...</x:v>
      </x:c>
      <x:c r="N95" s="95" t="str">
        <x:v>Nie potwierdzone | Status źródłowy: Niezweryfikowany</x:v>
      </x:c>
    </x:row>
    <x:row r="96">
      <x:c r="A96" s="23" t="n">
        <x:v>130</x:v>
      </x:c>
      <x:c r="B96" s="24" t="n">
        <x:v>68</x:v>
      </x:c>
      <x:c r="C96" s="24" t="str">
        <x:v>B — kampania regionalna</x:v>
      </x:c>
      <x:c r="D96" s="47" t="str">
        <x:v>ANIA Sp. z o.o.</x:v>
      </x:c>
      <x:c r="E96" s="47" t="str">
        <x:v>S2 — Hurtownie tytoniowe/FMCG</x:v>
      </x:c>
      <x:c r="F96" s="47" t="str">
        <x:v>Podkarpackie</x:v>
      </x:c>
      <x:c r="G96" s="47" t="str"/>
      <x:c r="H96" s="47" t="str"/>
      <x:c r="I96" s="47" t="str">
        <x:v>https://ania.rze.pl</x:v>
      </x:c>
      <x:c r="J96" s="47" t="str">
        <x:v>email, telefon</x:v>
      </x:c>
      <x:c r="K96" s="47" t="str">
        <x:v>Dodać do kampanii regionalnej i wykonać follow-up telefoniczny</x:v>
      </x:c>
      <x:c r="L96" s="47" t="str">
        <x:v>Nowy</x:v>
      </x:c>
      <x:c r="M96" s="47" t="str">
        <x:v>https://ania.rze.pl</x:v>
      </x:c>
      <x:c r="N96" s="95" t="str">
        <x:v>Nie potwierdzone | Status źródłowy: Niezweryfikowany</x:v>
      </x:c>
    </x:row>
    <x:row r="97">
      <x:c r="A97" s="23" t="n">
        <x:v>131</x:v>
      </x:c>
      <x:c r="B97" s="24" t="n">
        <x:v>68</x:v>
      </x:c>
      <x:c r="C97" s="24" t="str">
        <x:v>B — kampania regionalna</x:v>
      </x:c>
      <x:c r="D97" s="47" t="str">
        <x:v>ADGAR Hurtownia</x:v>
      </x:c>
      <x:c r="E97" s="47" t="str">
        <x:v>S2 — Hurtownie tytoniowe/FMCG</x:v>
      </x:c>
      <x:c r="F97" s="47" t="str">
        <x:v>Mazowieckie</x:v>
      </x:c>
      <x:c r="G97" s="47" t="str"/>
      <x:c r="H97" s="47" t="str"/>
      <x:c r="I97" s="47" t="str">
        <x:v>https://hurtownie.pl/hurtownie,...</x:v>
      </x:c>
      <x:c r="J97" s="47" t="str">
        <x:v>email, telefon</x:v>
      </x:c>
      <x:c r="K97" s="47" t="str">
        <x:v>Dodać do kampanii regionalnej i wykonać follow-up telefoniczny</x:v>
      </x:c>
      <x:c r="L97" s="47" t="str">
        <x:v>Nowy</x:v>
      </x:c>
      <x:c r="M97" s="47" t="str">
        <x:v>https://hurtownie.pl/hurtownie,...</x:v>
      </x:c>
      <x:c r="N97" s="95" t="str">
        <x:v>Nie potwierdzone | Status źródłowy: Niezweryfikowany</x:v>
      </x:c>
    </x:row>
    <x:row r="98">
      <x:c r="A98" s="23" t="n">
        <x:v>132</x:v>
      </x:c>
      <x:c r="B98" s="24" t="n">
        <x:v>68</x:v>
      </x:c>
      <x:c r="C98" s="24" t="str">
        <x:v>B — kampania regionalna</x:v>
      </x:c>
      <x:c r="D98" s="47" t="str">
        <x:v>7&amp;7 Hurtownia Wielobranżowa</x:v>
      </x:c>
      <x:c r="E98" s="47" t="str">
        <x:v>S2 — Hurtownie tytoniowe/FMCG</x:v>
      </x:c>
      <x:c r="F98" s="47" t="str">
        <x:v>Kujawsko-pomorskie</x:v>
      </x:c>
      <x:c r="G98" s="47" t="str"/>
      <x:c r="H98" s="47" t="str"/>
      <x:c r="I98" s="47" t="str">
        <x:v>https://hurt77.pl/hurtownia</x:v>
      </x:c>
      <x:c r="J98" s="47" t="str">
        <x:v>email, telefon</x:v>
      </x:c>
      <x:c r="K98" s="47" t="str">
        <x:v>Dodać do kampanii regionalnej i wykonać follow-up telefoniczny</x:v>
      </x:c>
      <x:c r="L98" s="47" t="str">
        <x:v>Nowy</x:v>
      </x:c>
      <x:c r="M98" s="47" t="str">
        <x:v>https://hurt77.pl/hurtownia</x:v>
      </x:c>
      <x:c r="N98" s="95" t="str">
        <x:v>Nie potwierdzone | Status źródłowy: Niezweryfikowany</x:v>
      </x:c>
    </x:row>
    <x:row r="99">
      <x:c r="A99" s="23" t="n">
        <x:v>133</x:v>
      </x:c>
      <x:c r="B99" s="24" t="n">
        <x:v>68</x:v>
      </x:c>
      <x:c r="C99" s="24" t="str">
        <x:v>B — kampania regionalna</x:v>
      </x:c>
      <x:c r="D99" s="47" t="str">
        <x:v>"Wir" Hurtownia Papierosów i Kawy</x:v>
      </x:c>
      <x:c r="E99" s="47" t="str">
        <x:v>S2 — Hurtownie tytoniowe/FMCG</x:v>
      </x:c>
      <x:c r="F99" s="47" t="str">
        <x:v>Opolskie</x:v>
      </x:c>
      <x:c r="G99" s="47" t="str"/>
      <x:c r="H99" s="47" t="str"/>
      <x:c r="I99" s="47" t="str">
        <x:v>https://24opole.pl/21262,Wir._...</x:v>
      </x:c>
      <x:c r="J99" s="47" t="str">
        <x:v>email, telefon</x:v>
      </x:c>
      <x:c r="K99" s="47" t="str">
        <x:v>Dodać do kampanii regionalnej i wykonać follow-up telefoniczny</x:v>
      </x:c>
      <x:c r="L99" s="47" t="str">
        <x:v>Nowy</x:v>
      </x:c>
      <x:c r="M99" s="47" t="str">
        <x:v>https://24opole.pl/21262,Wir._...</x:v>
      </x:c>
      <x:c r="N99" s="95" t="str">
        <x:v>Nie potwierdzone | Status źródłowy: Niezweryfikowany</x:v>
      </x:c>
    </x:row>
    <x:row r="100">
      <x:c r="A100" s="23" t="n">
        <x:v>134</x:v>
      </x:c>
      <x:c r="B100" s="24" t="n">
        <x:v>68</x:v>
      </x:c>
      <x:c r="C100" s="24" t="str">
        <x:v>B — kampania regionalna</x:v>
      </x:c>
      <x:c r="D100" s="47" t="str">
        <x:v>Zas-Pol</x:v>
      </x:c>
      <x:c r="E100" s="47" t="str">
        <x:v>S2 — Hurtownie tytoniowe/FMCG</x:v>
      </x:c>
      <x:c r="F100" s="47" t="str">
        <x:v>Ogólnopolska</x:v>
      </x:c>
      <x:c r="G100" s="47" t="str"/>
      <x:c r="H100" s="47" t="str"/>
      <x:c r="I100" s="47" t="str">
        <x:v>https://zas-pol.pl</x:v>
      </x:c>
      <x:c r="J100" s="47" t="str">
        <x:v>email, telefon</x:v>
      </x:c>
      <x:c r="K100" s="47" t="str">
        <x:v>Dodać do kampanii regionalnej i wykonać follow-up telefoniczny</x:v>
      </x:c>
      <x:c r="L100" s="47" t="str">
        <x:v>Nowy</x:v>
      </x:c>
      <x:c r="M100" s="47" t="str">
        <x:v>https://zas-pol.pl</x:v>
      </x:c>
      <x:c r="N100" s="95" t="str">
        <x:v>Nie potwierdzone</x:v>
      </x:c>
    </x:row>
    <x:row r="101">
      <x:c r="A101" s="23" t="n">
        <x:v>135</x:v>
      </x:c>
      <x:c r="B101" s="24" t="n">
        <x:v>67</x:v>
      </x:c>
      <x:c r="C101" s="24" t="str">
        <x:v>B — kampania regionalna</x:v>
      </x:c>
      <x:c r="D101" s="47" t="str">
        <x:v>SUŻYW Hurtownia artykułów spożywczych, alkoholi i papierosów</x:v>
      </x:c>
      <x:c r="E101" s="47" t="str">
        <x:v>S2 — Hurtownie tytoniowe/FMCG</x:v>
      </x:c>
      <x:c r="F101" s="47" t="str">
        <x:v>Małopolskie</x:v>
      </x:c>
      <x:c r="G101" s="47" t="str"/>
      <x:c r="H101" s="47" t="str"/>
      <x:c r="I101" s="47" t="str"/>
      <x:c r="J101" s="47" t="str">
        <x:v>email, telefon, WWW</x:v>
      </x:c>
      <x:c r="K101" s="47" t="str">
        <x:v>Dodać do kampanii regionalnej i wykonać follow-up telefoniczny</x:v>
      </x:c>
      <x:c r="L101" s="47" t="str">
        <x:v>Nowy</x:v>
      </x:c>
      <x:c r="M101" s="47" t="str"/>
      <x:c r="N101" s="95" t="str">
        <x:v>Lead regionalny; wymaga sprawdzenia CEIDG/KRS i telefonu. | Status źródłowy: Do weryfikacji — katalog</x:v>
      </x:c>
    </x:row>
    <x:row r="102">
      <x:c r="A102" s="23" t="n">
        <x:v>136</x:v>
      </x:c>
      <x:c r="B102" s="24" t="n">
        <x:v>67</x:v>
      </x:c>
      <x:c r="C102" s="24" t="str">
        <x:v>B — kampania regionalna</x:v>
      </x:c>
      <x:c r="D102" s="47" t="str">
        <x:v>KRYMAR Dystrybutor wyrobów tytoniowych</x:v>
      </x:c>
      <x:c r="E102" s="47" t="str">
        <x:v>S2 — Hurtownie tytoniowe/FMCG</x:v>
      </x:c>
      <x:c r="F102" s="47" t="str">
        <x:v>Pomorskie</x:v>
      </x:c>
      <x:c r="G102" s="47" t="str"/>
      <x:c r="H102" s="47" t="str"/>
      <x:c r="I102" s="47" t="str"/>
      <x:c r="J102" s="47" t="str">
        <x:v>email, telefon, WWW</x:v>
      </x:c>
      <x:c r="K102" s="47" t="str">
        <x:v>Dodać do kampanii regionalnej i wykonać follow-up telefoniczny</x:v>
      </x:c>
      <x:c r="L102" s="47" t="str">
        <x:v>Nowy</x:v>
      </x:c>
      <x:c r="M102" s="47" t="str"/>
      <x:c r="N102" s="95" t="str">
        <x:v>Regionalny lead dystrybucyjny; brak potwierdzonej strony i danych rejestrowych. | Status źródłowy: Do weryfikacji — katalog</x:v>
      </x:c>
    </x:row>
    <x:row r="103">
      <x:c r="A103" s="23" t="n">
        <x:v>137</x:v>
      </x:c>
      <x:c r="B103" s="24" t="n">
        <x:v>67</x:v>
      </x:c>
      <x:c r="C103" s="24" t="str">
        <x:v>B — kampania regionalna</x:v>
      </x:c>
      <x:c r="D103" s="47" t="str">
        <x:v>Hurtownia KIM K. Krzemiński, M. Krzemiński, A. Chrząszcz Sp.j.</x:v>
      </x:c>
      <x:c r="E103" s="47" t="str">
        <x:v>S2 — Hurtownie tytoniowe/FMCG</x:v>
      </x:c>
      <x:c r="F103" s="47" t="str">
        <x:v>Świętokrzyskie</x:v>
      </x:c>
      <x:c r="G103" s="47" t="str"/>
      <x:c r="H103" s="47" t="str"/>
      <x:c r="I103" s="47" t="str"/>
      <x:c r="J103" s="47" t="str">
        <x:v>email, telefon, WWW</x:v>
      </x:c>
      <x:c r="K103" s="47" t="str">
        <x:v>Dodać do kampanii regionalnej i wykonać follow-up telefoniczny</x:v>
      </x:c>
      <x:c r="L103" s="47" t="str">
        <x:v>Nowy</x:v>
      </x:c>
      <x:c r="M103" s="47" t="str"/>
      <x:c r="N103" s="95" t="str">
        <x:v>Lead regionalny do weryfikacji telefonicznej i rejestrowej. | Status źródłowy: Do weryfikacji — katalog</x:v>
      </x:c>
    </x:row>
    <x:row r="104">
      <x:c r="A104" s="23" t="n">
        <x:v>138</x:v>
      </x:c>
      <x:c r="B104" s="24" t="n">
        <x:v>66</x:v>
      </x:c>
      <x:c r="C104" s="24" t="str">
        <x:v>B — kampania regionalna</x:v>
      </x:c>
      <x:c r="D104" s="47" t="str">
        <x:v>Hurtownia Papierosów Śląsk i Zagłębie</x:v>
      </x:c>
      <x:c r="E104" s="47" t="str">
        <x:v>S4 — Vape/e-papierosy</x:v>
      </x:c>
      <x:c r="F104" s="47" t="str">
        <x:v>Śląskie</x:v>
      </x:c>
      <x:c r="G104" s="47" t="str"/>
      <x:c r="H104" s="47" t="str">
        <x:v>+48 500 804 824</x:v>
      </x:c>
      <x:c r="I104" s="47" t="str">
        <x:v>https://hurtownia-papierosow.pl</x:v>
      </x:c>
      <x:c r="J104" s="47" t="str">
        <x:v>email</x:v>
      </x:c>
      <x:c r="K104" s="47" t="str">
        <x:v>Dodać do kampanii regionalnej i wykonać follow-up telefoniczny</x:v>
      </x:c>
      <x:c r="L104" s="47" t="str">
        <x:v>Nowy</x:v>
      </x:c>
      <x:c r="M104" s="47" t="str">
        <x:v>https://hurtownia-papierosow.pl</x:v>
      </x:c>
      <x:c r="N104" s="95" t="str">
        <x:v>Nie potwierdzone | Status źródłowy: Niezweryfikowany</x:v>
      </x:c>
    </x:row>
    <x:row r="105">
      <x:c r="A105" s="23" t="n">
        <x:v>139</x:v>
      </x:c>
      <x:c r="B105" s="24" t="n">
        <x:v>66</x:v>
      </x:c>
      <x:c r="C105" s="24" t="str">
        <x:v>B — kampania regionalna</x:v>
      </x:c>
      <x:c r="D105" s="47" t="str">
        <x:v>F.H. Alans — Hurtownia Artykułów Tytoniowych</x:v>
      </x:c>
      <x:c r="E105" s="47" t="str">
        <x:v>S4 — Vape/e-papierosy</x:v>
      </x:c>
      <x:c r="F105" s="47" t="str">
        <x:v>Śląskie</x:v>
      </x:c>
      <x:c r="G105" s="47" t="str"/>
      <x:c r="H105" s="47" t="str">
        <x:v>32 240 22 26</x:v>
      </x:c>
      <x:c r="I105" s="47" t="str">
        <x:v>https://alans.pl</x:v>
      </x:c>
      <x:c r="J105" s="47" t="str">
        <x:v>email</x:v>
      </x:c>
      <x:c r="K105" s="47" t="str">
        <x:v>Dodać do kampanii regionalnej i wykonać follow-up telefoniczny</x:v>
      </x:c>
      <x:c r="L105" s="47" t="str">
        <x:v>Nowy</x:v>
      </x:c>
      <x:c r="M105" s="47" t="str">
        <x:v>https://alans.pl</x:v>
      </x:c>
      <x:c r="N105" s="95" t="str">
        <x:v>Nie potwierdzone | Status źródłowy: Niezweryfikowany</x:v>
      </x:c>
    </x:row>
    <x:row r="106">
      <x:c r="A106" s="23" t="n">
        <x:v>140</x:v>
      </x:c>
      <x:c r="B106" s="24" t="n">
        <x:v>66</x:v>
      </x:c>
      <x:c r="C106" s="24" t="str">
        <x:v>B — kampania regionalna</x:v>
      </x:c>
      <x:c r="D106" s="47" t="str">
        <x:v>Ubuy</x:v>
      </x:c>
      <x:c r="E106" s="47" t="str">
        <x:v>S1 — RYO/MYO, gilzy i nabijarki</x:v>
      </x:c>
      <x:c r="F106" s="47" t="str">
        <x:v>Nieustalony</x:v>
      </x:c>
      <x:c r="G106" s="47" t="str"/>
      <x:c r="H106" s="47" t="str"/>
      <x:c r="I106" s="47" t="str">
        <x:v>https://www.ubuy.com.pl</x:v>
      </x:c>
      <x:c r="J106" s="47" t="str">
        <x:v>email, telefon</x:v>
      </x:c>
      <x:c r="K106" s="47" t="str">
        <x:v>Dodać do kampanii regionalnej i wykonać follow-up telefoniczny</x:v>
      </x:c>
      <x:c r="L106" s="47" t="str">
        <x:v>Nowy</x:v>
      </x:c>
      <x:c r="M106" s="47" t="str">
        <x:v>https://www.ubuy.com.pl</x:v>
      </x:c>
      <x:c r="N106" s="95" t="str">
        <x:v>Status źródłowy: Aktywny</x:v>
      </x:c>
    </x:row>
    <x:row r="107">
      <x:c r="A107" s="23" t="n">
        <x:v>141</x:v>
      </x:c>
      <x:c r="B107" s="24" t="n">
        <x:v>66</x:v>
      </x:c>
      <x:c r="C107" s="24" t="str">
        <x:v>B — kampania regionalna</x:v>
      </x:c>
      <x:c r="D107" s="47" t="str">
        <x:v>Drek Hurtownia Gilz</x:v>
      </x:c>
      <x:c r="E107" s="47" t="str">
        <x:v>S2 — Hurtownie tytoniowe/FMCG</x:v>
      </x:c>
      <x:c r="F107" s="47" t="str">
        <x:v>Mazowieckie</x:v>
      </x:c>
      <x:c r="G107" s="47" t="str"/>
      <x:c r="H107" s="47" t="str">
        <x:v>504 083 360</x:v>
      </x:c>
      <x:c r="I107" s="47" t="str"/>
      <x:c r="J107" s="47" t="str">
        <x:v>email, WWW</x:v>
      </x:c>
      <x:c r="K107" s="47" t="str">
        <x:v>Dodać do kampanii regionalnej i wykonać follow-up telefoniczny</x:v>
      </x:c>
      <x:c r="L107" s="47" t="str">
        <x:v>Nowy</x:v>
      </x:c>
      <x:c r="M107" s="47" t="str"/>
      <x:c r="N107" s="95" t="str">
        <x:v>Dostawy ogólnopolskie</x:v>
      </x:c>
    </x:row>
    <x:row r="108">
      <x:c r="A108" s="23" t="n">
        <x:v>142</x:v>
      </x:c>
      <x:c r="B108" s="24" t="n">
        <x:v>65</x:v>
      </x:c>
      <x:c r="C108" s="24" t="str">
        <x:v>B — kampania regionalna</x:v>
      </x:c>
      <x:c r="D108" s="47" t="str">
        <x:v>Allegro: zico_tabak</x:v>
      </x:c>
      <x:c r="E108" s="47" t="str">
        <x:v>S1 — RYO/MYO, gilzy i nabijarki</x:v>
      </x:c>
      <x:c r="F108" s="47" t="str">
        <x:v>Ogólnopolska</x:v>
      </x:c>
      <x:c r="G108" s="47" t="str"/>
      <x:c r="H108" s="47" t="str"/>
      <x:c r="I108" s="47" t="str">
        <x:v>https://allegro.pl/uzytkownik/zico_tabak</x:v>
      </x:c>
      <x:c r="J108" s="47" t="str">
        <x:v>email, telefon</x:v>
      </x:c>
      <x:c r="K108" s="47" t="str">
        <x:v>Dodać do kampanii regionalnej i wykonać follow-up telefoniczny</x:v>
      </x:c>
      <x:c r="L108" s="47" t="str">
        <x:v>Nowy</x:v>
      </x:c>
      <x:c r="M108" s="47" t="str">
        <x:v>https://allegro.pl/uzytkownik/zico_tabak</x:v>
      </x:c>
      <x:c r="N108" s="95" t="str">
        <x:v>Konto związane z trafiką, oferuje Mascotte, Guliwer. | Status źródłowy: Niezweryfikowany</x:v>
      </x:c>
    </x:row>
    <x:row r="109">
      <x:c r="A109" s="23" t="n">
        <x:v>143</x:v>
      </x:c>
      <x:c r="B109" s="24" t="n">
        <x:v>65</x:v>
      </x:c>
      <x:c r="C109" s="24" t="str">
        <x:v>B — kampania regionalna</x:v>
      </x:c>
      <x:c r="D109" s="47" t="str">
        <x:v>Allegro: sstrzelec</x:v>
      </x:c>
      <x:c r="E109" s="47" t="str">
        <x:v>S1 — RYO/MYO, gilzy i nabijarki</x:v>
      </x:c>
      <x:c r="F109" s="47" t="str">
        <x:v>Ogólnopolska</x:v>
      </x:c>
      <x:c r="G109" s="47" t="str"/>
      <x:c r="H109" s="47" t="str"/>
      <x:c r="I109" s="47" t="str">
        <x:v>https://allegro.pl/uzytkownik/sstrzelec</x:v>
      </x:c>
      <x:c r="J109" s="47" t="str">
        <x:v>email, telefon</x:v>
      </x:c>
      <x:c r="K109" s="47" t="str">
        <x:v>Dodać do kampanii regionalnej i wykonać follow-up telefoniczny</x:v>
      </x:c>
      <x:c r="L109" s="47" t="str">
        <x:v>Nowy</x:v>
      </x:c>
      <x:c r="M109" s="47" t="str">
        <x:v>https://allegro.pl/uzytkownik/sstrzelec</x:v>
      </x:c>
      <x:c r="N109" s="95" t="str">
        <x:v>Specjalistyczny sprzedawca z ofertą OCB Mikromatic, Mascotte, Kompan. Tysiące ocen, Super Sprzedawca. | Status źródłowy: Niezweryfikowany</x:v>
      </x:c>
    </x:row>
    <x:row r="110">
      <x:c r="A110" s="23" t="n">
        <x:v>144</x:v>
      </x:c>
      <x:c r="B110" s="24" t="n">
        <x:v>65</x:v>
      </x:c>
      <x:c r="C110" s="24" t="str">
        <x:v>B — kampania regionalna</x:v>
      </x:c>
      <x:c r="D110" s="47" t="str">
        <x:v>Allegro: retoo</x:v>
      </x:c>
      <x:c r="E110" s="47" t="str">
        <x:v>S1 — RYO/MYO, gilzy i nabijarki</x:v>
      </x:c>
      <x:c r="F110" s="47" t="str">
        <x:v>Ogólnopolska</x:v>
      </x:c>
      <x:c r="G110" s="47" t="str"/>
      <x:c r="H110" s="47" t="str"/>
      <x:c r="I110" s="47" t="str">
        <x:v>https://allegro.pl/uzytkownik/retoo</x:v>
      </x:c>
      <x:c r="J110" s="47" t="str">
        <x:v>email, telefon</x:v>
      </x:c>
      <x:c r="K110" s="47" t="str">
        <x:v>Dodać do kampanii regionalnej i wykonać follow-up telefoniczny</x:v>
      </x:c>
      <x:c r="L110" s="47" t="str">
        <x:v>Nowy</x:v>
      </x:c>
      <x:c r="M110" s="47" t="str">
        <x:v>https://allegro.pl/uzytkownik/retoo</x:v>
      </x:c>
      <x:c r="N110" s="95" t="str">
        <x:v>Duży sprzedawca użytkowy, tanie modele elektryczne. Duży wolumen, mniej branżowy. | Status źródłowy: Niezweryfikowany</x:v>
      </x:c>
    </x:row>
    <x:row r="111">
      <x:c r="A111" s="23" t="n">
        <x:v>145</x:v>
      </x:c>
      <x:c r="B111" s="24" t="n">
        <x:v>65</x:v>
      </x:c>
      <x:c r="C111" s="24" t="str">
        <x:v>B — kampania regionalna</x:v>
      </x:c>
      <x:c r="D111" s="47" t="str">
        <x:v>Allegro: przykasowe</x:v>
      </x:c>
      <x:c r="E111" s="47" t="str">
        <x:v>S1 — RYO/MYO, gilzy i nabijarki</x:v>
      </x:c>
      <x:c r="F111" s="47" t="str">
        <x:v>Ogólnopolska</x:v>
      </x:c>
      <x:c r="G111" s="47" t="str"/>
      <x:c r="H111" s="47" t="str"/>
      <x:c r="I111" s="47" t="str">
        <x:v>https://allegro.pl/uzytkownik/przykasowe</x:v>
      </x:c>
      <x:c r="J111" s="47" t="str">
        <x:v>email, telefon</x:v>
      </x:c>
      <x:c r="K111" s="47" t="str">
        <x:v>Dodać do kampanii regionalnej i wykonać follow-up telefoniczny</x:v>
      </x:c>
      <x:c r="L111" s="47" t="str">
        <x:v>Nowy</x:v>
      </x:c>
      <x:c r="M111" s="47" t="str">
        <x:v>https://allegro.pl/uzytkownik/przykasowe</x:v>
      </x:c>
      <x:c r="N111" s="95" t="str">
        <x:v>Szeroki zestaw produktów Mascotte, Kompan, Matteo. | Status źródłowy: Niezweryfikowany</x:v>
      </x:c>
    </x:row>
    <x:row r="112">
      <x:c r="A112" s="23" t="n">
        <x:v>146</x:v>
      </x:c>
      <x:c r="B112" s="24" t="n">
        <x:v>65</x:v>
      </x:c>
      <x:c r="C112" s="24" t="str">
        <x:v>B — kampania regionalna</x:v>
      </x:c>
      <x:c r="D112" s="47" t="str">
        <x:v>Allegro: konopny_sklep</x:v>
      </x:c>
      <x:c r="E112" s="47" t="str">
        <x:v>S1 — RYO/MYO, gilzy i nabijarki</x:v>
      </x:c>
      <x:c r="F112" s="47" t="str">
        <x:v>Ogólnopolska</x:v>
      </x:c>
      <x:c r="G112" s="47" t="str"/>
      <x:c r="H112" s="47" t="str"/>
      <x:c r="I112" s="47" t="str">
        <x:v>https://allegro.pl/uzytkownik/konopny_sklep</x:v>
      </x:c>
      <x:c r="J112" s="47" t="str">
        <x:v>email, telefon</x:v>
      </x:c>
      <x:c r="K112" s="47" t="str">
        <x:v>Dodać do kampanii regionalnej i wykonać follow-up telefoniczny</x:v>
      </x:c>
      <x:c r="L112" s="47" t="str">
        <x:v>Nowy</x:v>
      </x:c>
      <x:c r="M112" s="47" t="str">
        <x:v>https://allegro.pl/uzytkownik/konopny_sklep</x:v>
      </x:c>
      <x:c r="N112" s="95" t="str">
        <x:v>Sprzedaje OCB Mikromatic oraz Powermatic Mini. | Status źródłowy: Niezweryfikowany</x:v>
      </x:c>
    </x:row>
    <x:row r="113">
      <x:c r="A113" s="23" t="n">
        <x:v>147</x:v>
      </x:c>
      <x:c r="B113" s="24" t="n">
        <x:v>65</x:v>
      </x:c>
      <x:c r="C113" s="24" t="str">
        <x:v>B — kampania regionalna</x:v>
      </x:c>
      <x:c r="D113" s="47" t="str">
        <x:v>Allegro: eempire</x:v>
      </x:c>
      <x:c r="E113" s="47" t="str">
        <x:v>S1 — RYO/MYO, gilzy i nabijarki</x:v>
      </x:c>
      <x:c r="F113" s="47" t="str">
        <x:v>Ogólnopolska</x:v>
      </x:c>
      <x:c r="G113" s="47" t="str"/>
      <x:c r="H113" s="47" t="str"/>
      <x:c r="I113" s="47" t="str">
        <x:v>https://allegro.pl/uzytkownik/eempire</x:v>
      </x:c>
      <x:c r="J113" s="47" t="str">
        <x:v>email, telefon</x:v>
      </x:c>
      <x:c r="K113" s="47" t="str">
        <x:v>Dodać do kampanii regionalnej i wykonać follow-up telefoniczny</x:v>
      </x:c>
      <x:c r="L113" s="47" t="str">
        <x:v>Nowy</x:v>
      </x:c>
      <x:c r="M113" s="47" t="str">
        <x:v>https://allegro.pl/uzytkownik/eempire</x:v>
      </x:c>
      <x:c r="N113" s="95" t="str">
        <x:v>Sprzedaje elektryczne i tłokowe urządzenia w cenie ~250 zł. Konkurent / reseller. | Status źródłowy: Niezweryfikowany</x:v>
      </x:c>
    </x:row>
    <x:row r="114">
      <x:c r="A114" s="23" t="n">
        <x:v>148</x:v>
      </x:c>
      <x:c r="B114" s="24" t="n">
        <x:v>65</x:v>
      </x:c>
      <x:c r="C114" s="24" t="str">
        <x:v>B — kampania regionalna</x:v>
      </x:c>
      <x:c r="D114" s="47" t="str">
        <x:v>Allegro: dominikmarket</x:v>
      </x:c>
      <x:c r="E114" s="47" t="str">
        <x:v>S1 — RYO/MYO, gilzy i nabijarki</x:v>
      </x:c>
      <x:c r="F114" s="47" t="str">
        <x:v>Ogólnopolska</x:v>
      </x:c>
      <x:c r="G114" s="47" t="str"/>
      <x:c r="H114" s="47" t="str"/>
      <x:c r="I114" s="47" t="str">
        <x:v>https://allegro.pl/uzytkownik/dominikmarket</x:v>
      </x:c>
      <x:c r="J114" s="47" t="str">
        <x:v>email, telefon</x:v>
      </x:c>
      <x:c r="K114" s="47" t="str">
        <x:v>Dodać do kampanii regionalnej i wykonać follow-up telefoniczny</x:v>
      </x:c>
      <x:c r="L114" s="47" t="str">
        <x:v>Nowy</x:v>
      </x:c>
      <x:c r="M114" s="47" t="str">
        <x:v>https://allegro.pl/uzytkownik/dominikmarket</x:v>
      </x:c>
      <x:c r="N114" s="95" t="str">
        <x:v>Wysoka sprzedaż jednej z nabijarek. Warto zbadać hurt/źródła. | Status źródłowy: Niezweryfikowany</x:v>
      </x:c>
    </x:row>
    <x:row r="115">
      <x:c r="A115" s="23" t="n">
        <x:v>149</x:v>
      </x:c>
      <x:c r="B115" s="24" t="n">
        <x:v>65</x:v>
      </x:c>
      <x:c r="C115" s="24" t="str">
        <x:v>B — kampania regionalna</x:v>
      </x:c>
      <x:c r="D115" s="47" t="str">
        <x:v>Allegro: Weed4u</x:v>
      </x:c>
      <x:c r="E115" s="47" t="str">
        <x:v>S1 — RYO/MYO, gilzy i nabijarki</x:v>
      </x:c>
      <x:c r="F115" s="47" t="str">
        <x:v>Ogólnopolska</x:v>
      </x:c>
      <x:c r="G115" s="47" t="str"/>
      <x:c r="H115" s="47" t="str"/>
      <x:c r="I115" s="47" t="str">
        <x:v>https://allegro.pl/uzytkownik/Weed4u</x:v>
      </x:c>
      <x:c r="J115" s="47" t="str">
        <x:v>email, telefon</x:v>
      </x:c>
      <x:c r="K115" s="47" t="str">
        <x:v>Dodać do kampanii regionalnej i wykonać follow-up telefoniczny</x:v>
      </x:c>
      <x:c r="L115" s="47" t="str">
        <x:v>Nowy</x:v>
      </x:c>
      <x:c r="M115" s="47" t="str">
        <x:v>https://allegro.pl/uzytkownik/Weed4u</x:v>
      </x:c>
      <x:c r="N115" s="95" t="str">
        <x:v>Ręczne Mascotte i Kompan. Baza do upsellu na elektryki. | Status źródłowy: Niezweryfikowany</x:v>
      </x:c>
    </x:row>
    <x:row r="116">
      <x:c r="A116" s="23" t="n">
        <x:v>150</x:v>
      </x:c>
      <x:c r="B116" s="24" t="n">
        <x:v>65</x:v>
      </x:c>
      <x:c r="C116" s="24" t="str">
        <x:v>B — kampania regionalna</x:v>
      </x:c>
      <x:c r="D116" s="47" t="str">
        <x:v>Allegro: NABIJARKI_pl</x:v>
      </x:c>
      <x:c r="E116" s="47" t="str">
        <x:v>S1 — RYO/MYO, gilzy i nabijarki</x:v>
      </x:c>
      <x:c r="F116" s="47" t="str">
        <x:v>Ogólnopolska</x:v>
      </x:c>
      <x:c r="G116" s="47" t="str"/>
      <x:c r="H116" s="47" t="str"/>
      <x:c r="I116" s="47" t="str">
        <x:v>https://allegro.pl/uzytkownik/NABIJARKI_pl</x:v>
      </x:c>
      <x:c r="J116" s="47" t="str">
        <x:v>email, telefon</x:v>
      </x:c>
      <x:c r="K116" s="47" t="str">
        <x:v>Dodać do kampanii regionalnej i wykonać follow-up telefoniczny</x:v>
      </x:c>
      <x:c r="L116" s="47" t="str">
        <x:v>Nowy</x:v>
      </x:c>
      <x:c r="M116" s="47" t="str">
        <x:v>https://allegro.pl/uzytkownik/NABIJARKI_pl</x:v>
      </x:c>
      <x:c r="N116" s="95" t="str">
        <x:v>Profil specjalistyczny (standard, slim, superslim). | Status źródłowy: Niezweryfikowany</x:v>
      </x:c>
    </x:row>
    <x:row r="117">
      <x:c r="A117" s="23" t="n">
        <x:v>151</x:v>
      </x:c>
      <x:c r="B117" s="24" t="n">
        <x:v>65</x:v>
      </x:c>
      <x:c r="C117" s="24" t="str">
        <x:v>B — kampania regionalna</x:v>
      </x:c>
      <x:c r="D117" s="47" t="str">
        <x:v>Allegro: Flawonoid</x:v>
      </x:c>
      <x:c r="E117" s="47" t="str">
        <x:v>S1 — RYO/MYO, gilzy i nabijarki</x:v>
      </x:c>
      <x:c r="F117" s="47" t="str">
        <x:v>Ogólnopolska</x:v>
      </x:c>
      <x:c r="G117" s="47" t="str"/>
      <x:c r="H117" s="47" t="str"/>
      <x:c r="I117" s="47" t="str">
        <x:v>https://allegro.pl/uzytkownik/Flawonoid</x:v>
      </x:c>
      <x:c r="J117" s="47" t="str">
        <x:v>email, telefon</x:v>
      </x:c>
      <x:c r="K117" s="47" t="str">
        <x:v>Dodać do kampanii regionalnej i wykonać follow-up telefoniczny</x:v>
      </x:c>
      <x:c r="L117" s="47" t="str">
        <x:v>Nowy</x:v>
      </x:c>
      <x:c r="M117" s="47" t="str">
        <x:v>https://allegro.pl/uzytkownik/Flawonoid</x:v>
      </x:c>
      <x:c r="N117" s="95" t="str">
        <x:v>Oferuje kilka rodzajów nabijarek, w tym OCB Mikromatic. | Status źródłowy: Niezweryfikowany</x:v>
      </x:c>
    </x:row>
    <x:row r="118">
      <x:c r="A118" s="23" t="n">
        <x:v>152</x:v>
      </x:c>
      <x:c r="B118" s="24" t="n">
        <x:v>65</x:v>
      </x:c>
      <x:c r="C118" s="24" t="str">
        <x:v>B — kampania regionalna</x:v>
      </x:c>
      <x:c r="D118" s="47" t="str">
        <x:v>Allegro: AnyTech_pl</x:v>
      </x:c>
      <x:c r="E118" s="47" t="str">
        <x:v>S1 — RYO/MYO, gilzy i nabijarki</x:v>
      </x:c>
      <x:c r="F118" s="47" t="str">
        <x:v>Ogólnopolska</x:v>
      </x:c>
      <x:c r="G118" s="47" t="str"/>
      <x:c r="H118" s="47" t="str"/>
      <x:c r="I118" s="47" t="str">
        <x:v>https://allegro.pl/uzytkownik/AnyTech_pl</x:v>
      </x:c>
      <x:c r="J118" s="47" t="str">
        <x:v>email, telefon</x:v>
      </x:c>
      <x:c r="K118" s="47" t="str">
        <x:v>Dodać do kampanii regionalnej i wykonać follow-up telefoniczny</x:v>
      </x:c>
      <x:c r="L118" s="47" t="str">
        <x:v>Nowy</x:v>
      </x:c>
      <x:c r="M118" s="47" t="str">
        <x:v>https://allegro.pl/uzytkownik/AnyTech_pl</x:v>
      </x:c>
      <x:c r="N118" s="95" t="str">
        <x:v>Super Sprzedawca, nabijarki elektryczne tłokowe. | Status źródłowy: Niezweryfikowany</x:v>
      </x:c>
    </x:row>
    <x:row r="119">
      <x:c r="A119" s="23" t="n">
        <x:v>153</x:v>
      </x:c>
      <x:c r="B119" s="24" t="n">
        <x:v>64</x:v>
      </x:c>
      <x:c r="C119" s="24" t="str">
        <x:v>B — kampania regionalna</x:v>
      </x:c>
      <x:c r="D119" s="47" t="str">
        <x:v>VIVOPLAST</x:v>
      </x:c>
      <x:c r="E119" s="47" t="str">
        <x:v>S2 — Hurtownie tytoniowe/FMCG</x:v>
      </x:c>
      <x:c r="F119" s="47" t="str">
        <x:v>Świętokrzyskie</x:v>
      </x:c>
      <x:c r="G119" s="47" t="str"/>
      <x:c r="H119" s="47" t="str"/>
      <x:c r="I119" s="47" t="str">
        <x:v>https://www.hurtownie.pl/hurtownie-wyroby-tytoniowe,10611.html?p=13</x:v>
      </x:c>
      <x:c r="J119" s="47" t="str">
        <x:v>email, telefon</x:v>
      </x:c>
      <x:c r="K119" s="47" t="str">
        <x:v>Dodać do kampanii regionalnej i wykonać follow-up telefoniczny</x:v>
      </x:c>
      <x:c r="L119" s="47" t="str">
        <x:v>Nowy</x:v>
      </x:c>
      <x:c r="M119" s="47" t="str">
        <x:v>https://www.hurtownie.pl/hurtownie-wyroby-tytoniowe,10611.html?p=13</x:v>
      </x:c>
      <x:c r="N119" s="95" t="str"/>
    </x:row>
    <x:row r="120">
      <x:c r="A120" s="23" t="n">
        <x:v>154</x:v>
      </x:c>
      <x:c r="B120" s="24" t="n">
        <x:v>64</x:v>
      </x:c>
      <x:c r="C120" s="24" t="str">
        <x:v>B — kampania regionalna</x:v>
      </x:c>
      <x:c r="D120" s="47" t="str">
        <x:v>Trezo Sp. z o.o.</x:v>
      </x:c>
      <x:c r="E120" s="47" t="str">
        <x:v>S1 — RYO/MYO, gilzy i nabijarki</x:v>
      </x:c>
      <x:c r="F120" s="47" t="str">
        <x:v>Śląskie</x:v>
      </x:c>
      <x:c r="G120" s="47" t="str"/>
      <x:c r="H120" s="47" t="str"/>
      <x:c r="I120" s="47" t="str">
        <x:v>https://trezo.com.pl</x:v>
      </x:c>
      <x:c r="J120" s="47" t="str">
        <x:v>email, telefon</x:v>
      </x:c>
      <x:c r="K120" s="47" t="str">
        <x:v>Rozmowa strategiczna z dyrektorem handlowym; bez standardowego cold maila</x:v>
      </x:c>
      <x:c r="L120" s="47" t="str">
        <x:v>Nowy</x:v>
      </x:c>
      <x:c r="M120" s="47" t="str">
        <x:v>https://trezo.com.pl</x:v>
      </x:c>
      <x:c r="N120" s="95" t="str">
        <x:v>Nie potwierdzone | Status źródłowy: Dostępny w katalogu</x:v>
      </x:c>
    </x:row>
    <x:row r="121">
      <x:c r="A121" s="23" t="n">
        <x:v>155</x:v>
      </x:c>
      <x:c r="B121" s="24" t="n">
        <x:v>64</x:v>
      </x:c>
      <x:c r="C121" s="24" t="str">
        <x:v>B — kampania regionalna</x:v>
      </x:c>
      <x:c r="D121" s="47" t="str">
        <x:v>Promotorzy Sp. z o.o.</x:v>
      </x:c>
      <x:c r="E121" s="47" t="str">
        <x:v>S1 — RYO/MYO, gilzy i nabijarki</x:v>
      </x:c>
      <x:c r="F121" s="47" t="str">
        <x:v>Ogólnopolska</x:v>
      </x:c>
      <x:c r="G121" s="47" t="str"/>
      <x:c r="H121" s="47" t="str"/>
      <x:c r="I121" s="47" t="str">
        <x:v>https://promotorzy.pl</x:v>
      </x:c>
      <x:c r="J121" s="47" t="str">
        <x:v>email, telefon</x:v>
      </x:c>
      <x:c r="K121" s="47" t="str">
        <x:v>Rozmowa strategiczna z dyrektorem handlowym; bez standardowego cold maila</x:v>
      </x:c>
      <x:c r="L121" s="47" t="str">
        <x:v>Nowy</x:v>
      </x:c>
      <x:c r="M121" s="47" t="str">
        <x:v>https://promotorzy.pl</x:v>
      </x:c>
      <x:c r="N121" s="95" t="str">
        <x:v>Nie potwierdzone | Status źródłowy: Dostępny w katalogu</x:v>
      </x:c>
    </x:row>
    <x:row r="122">
      <x:c r="A122" s="23" t="n">
        <x:v>156</x:v>
      </x:c>
      <x:c r="B122" s="24" t="n">
        <x:v>64</x:v>
      </x:c>
      <x:c r="C122" s="24" t="str">
        <x:v>B — kampania regionalna</x:v>
      </x:c>
      <x:c r="D122" s="47" t="str">
        <x:v>Huzark</x:v>
      </x:c>
      <x:c r="E122" s="47" t="str">
        <x:v>S1 — RYO/MYO, gilzy i nabijarki</x:v>
      </x:c>
      <x:c r="F122" s="47" t="str">
        <x:v>Nieustalony</x:v>
      </x:c>
      <x:c r="G122" s="47" t="str"/>
      <x:c r="H122" s="47" t="str"/>
      <x:c r="I122" s="47" t="str">
        <x:v>https://huzark.com</x:v>
      </x:c>
      <x:c r="J122" s="47" t="str">
        <x:v>email, telefon</x:v>
      </x:c>
      <x:c r="K122" s="47" t="str">
        <x:v>Rozmowa strategiczna z dyrektorem handlowym; bez standardowego cold maila</x:v>
      </x:c>
      <x:c r="L122" s="47" t="str">
        <x:v>Nowy</x:v>
      </x:c>
      <x:c r="M122" s="47" t="str">
        <x:v>https://huzark.com</x:v>
      </x:c>
      <x:c r="N122" s="95" t="str">
        <x:v>Nie potwierdzone | Status źródłowy: Dostępny w katalogu</x:v>
      </x:c>
    </x:row>
    <x:row r="123">
      <x:c r="A123" s="23" t="n">
        <x:v>157</x:v>
      </x:c>
      <x:c r="B123" s="24" t="n">
        <x:v>64</x:v>
      </x:c>
      <x:c r="C123" s="24" t="str">
        <x:v>B — kampania regionalna</x:v>
      </x:c>
      <x:c r="D123" s="47" t="str">
        <x:v>Tabak — hurtownia papierosów i chemii gospodarczej, D. Łożyniak</x:v>
      </x:c>
      <x:c r="E123" s="47" t="str">
        <x:v>S2 — Hurtownie tytoniowe/FMCG</x:v>
      </x:c>
      <x:c r="F123" s="47" t="str">
        <x:v>Lubuskie</x:v>
      </x:c>
      <x:c r="G123" s="47" t="str"/>
      <x:c r="H123" s="47" t="str"/>
      <x:c r="I123" s="47" t="str"/>
      <x:c r="J123" s="47" t="str">
        <x:v>email, telefon, WWW</x:v>
      </x:c>
      <x:c r="K123" s="47" t="str">
        <x:v>Dodać do kampanii regionalnej i wykonać follow-up telefoniczny</x:v>
      </x:c>
      <x:c r="L123" s="47" t="str">
        <x:v>Nowy</x:v>
      </x:c>
      <x:c r="M123" s="47" t="str">
        <x:v>https://www.pkt.pl/szukaj/hurtownia-papierosow</x:v>
      </x:c>
      <x:c r="N123" s="95" t="str">
        <x:v>Status źródłowy: Do weryfikacji — katalog</x:v>
      </x:c>
    </x:row>
    <x:row r="124">
      <x:c r="A124" s="23" t="n">
        <x:v>158</x:v>
      </x:c>
      <x:c r="B124" s="24" t="n">
        <x:v>62</x:v>
      </x:c>
      <x:c r="C124" s="24" t="str">
        <x:v>B — kampania regionalna</x:v>
      </x:c>
      <x:c r="D124" s="47" t="str">
        <x:v>Tabak - Hurtownia papierosów i wyrobów tytoniowych.</x:v>
      </x:c>
      <x:c r="E124" s="47" t="str">
        <x:v>S4 — Vape/e-papierosy</x:v>
      </x:c>
      <x:c r="F124" s="47" t="str">
        <x:v>Dolnośląskie</x:v>
      </x:c>
      <x:c r="G124" s="47" t="str"/>
      <x:c r="H124" s="47" t="str">
        <x:v>+48 71 349 10 10</x:v>
      </x:c>
      <x:c r="I124" s="47" t="str">
        <x:v>http://tabak.wroclaw.pl</x:v>
      </x:c>
      <x:c r="J124" s="47" t="str">
        <x:v>email</x:v>
      </x:c>
      <x:c r="K124" s="47" t="str">
        <x:v>Dodać do kampanii regionalnej i wykonać follow-up telefoniczny</x:v>
      </x:c>
      <x:c r="L124" s="47" t="str">
        <x:v>Nowy</x:v>
      </x:c>
      <x:c r="M124" s="47" t="str">
        <x:v>http://tabak.wroclaw.pl</x:v>
      </x:c>
      <x:c r="N124" s="95" t="str">
        <x:v>Status źródłowy: Niezweryfikowany</x:v>
      </x:c>
    </x:row>
    <x:row r="125">
      <x:c r="A125" s="23" t="n">
        <x:v>159</x:v>
      </x:c>
      <x:c r="B125" s="24" t="n">
        <x:v>62</x:v>
      </x:c>
      <x:c r="C125" s="24" t="str">
        <x:v>B — kampania regionalna</x:v>
      </x:c>
      <x:c r="D125" s="47" t="str">
        <x:v>LokiVape E-papierosy Vape Shop Ełk</x:v>
      </x:c>
      <x:c r="E125" s="47" t="str">
        <x:v>S4 — Vape/e-papierosy</x:v>
      </x:c>
      <x:c r="F125" s="47" t="str">
        <x:v>Podlaskie</x:v>
      </x:c>
      <x:c r="G125" s="47" t="str"/>
      <x:c r="H125" s="47" t="str">
        <x:v>+48 690 527 835</x:v>
      </x:c>
      <x:c r="I125" s="47" t="str">
        <x:v>https://www.lokivape.com/sklepy/lokivape-elk-ul-armii-krajowej-9-U11</x:v>
      </x:c>
      <x:c r="J125" s="47" t="str">
        <x:v>email</x:v>
      </x:c>
      <x:c r="K125" s="47" t="str">
        <x:v>Dodać do kampanii regionalnej i wykonać follow-up telefoniczny</x:v>
      </x:c>
      <x:c r="L125" s="47" t="str">
        <x:v>Nowy</x:v>
      </x:c>
      <x:c r="M125" s="47" t="str">
        <x:v>https://www.lokivape.com/sklepy/lokivape-elk-ul-armii-krajowej-9-U11</x:v>
      </x:c>
      <x:c r="N125" s="95" t="str">
        <x:v>Status źródłowy: Niezweryfikowany</x:v>
      </x:c>
    </x:row>
    <x:row r="126">
      <x:c r="A126" s="23" t="n">
        <x:v>160</x:v>
      </x:c>
      <x:c r="B126" s="24" t="n">
        <x:v>62</x:v>
      </x:c>
      <x:c r="C126" s="24" t="str">
        <x:v>B — kampania regionalna</x:v>
      </x:c>
      <x:c r="D126" s="47" t="str">
        <x:v>E-papierosy.pl</x:v>
      </x:c>
      <x:c r="E126" s="47" t="str">
        <x:v>S4 — Vape/e-papierosy</x:v>
      </x:c>
      <x:c r="F126" s="47" t="str">
        <x:v>Mazowieckie</x:v>
      </x:c>
      <x:c r="G126" s="47" t="str"/>
      <x:c r="H126" s="47" t="str">
        <x:v>+48 571 552 187</x:v>
      </x:c>
      <x:c r="I126" s="47" t="str">
        <x:v>https://e-papierosy.pl/pl/?utm_medium=organic&amp;utm_source=google_maps&amp;utm_campaign=google_maps&amp;utm_content=web_url</x:v>
      </x:c>
      <x:c r="J126" s="47" t="str">
        <x:v>email</x:v>
      </x:c>
      <x:c r="K126" s="47" t="str">
        <x:v>Dodać do kampanii regionalnej i wykonać follow-up telefoniczny</x:v>
      </x:c>
      <x:c r="L126" s="47" t="str">
        <x:v>Nowy</x:v>
      </x:c>
      <x:c r="M126" s="47" t="str">
        <x:v>https://e-papierosy.pl/pl/?utm_medium=organic&amp;utm_source=google_maps&amp;utm_campaign=google_maps&amp;utm_content=web_url</x:v>
      </x:c>
      <x:c r="N126" s="95" t="str">
        <x:v>Status źródłowy: Niezweryfikowany</x:v>
      </x:c>
    </x:row>
    <x:row r="127">
      <x:c r="A127" s="23" t="n">
        <x:v>161</x:v>
      </x:c>
      <x:c r="B127" s="24" t="n">
        <x:v>62</x:v>
      </x:c>
      <x:c r="C127" s="24" t="str">
        <x:v>B — kampania regionalna</x:v>
      </x:c>
      <x:c r="D127" s="47" t="str">
        <x:v>JarajTo</x:v>
      </x:c>
      <x:c r="E127" s="47" t="str">
        <x:v>S4 — Vape/e-papierosy</x:v>
      </x:c>
      <x:c r="F127" s="47" t="str">
        <x:v>Ogólnopolska</x:v>
      </x:c>
      <x:c r="G127" s="47" t="str"/>
      <x:c r="H127" s="47" t="str"/>
      <x:c r="I127" s="47" t="str">
        <x:v>https://jarajto.pl</x:v>
      </x:c>
      <x:c r="J127" s="47" t="str">
        <x:v>email, telefon</x:v>
      </x:c>
      <x:c r="K127" s="47" t="str">
        <x:v>Dodać do kampanii regionalnej i wykonać follow-up telefoniczny</x:v>
      </x:c>
      <x:c r="L127" s="47" t="str">
        <x:v>Nowy</x:v>
      </x:c>
      <x:c r="M127" s="47" t="str">
        <x:v>https://jarajto.pl</x:v>
      </x:c>
      <x:c r="N127" s="95" t="str">
        <x:v>Wholesale headshop focusing on premium papers, glass, CBD, and vapes.</x:v>
      </x:c>
    </x:row>
    <x:row r="128">
      <x:c r="A128" s="23" t="n">
        <x:v>164</x:v>
      </x:c>
      <x:c r="B128" s="24" t="n">
        <x:v>61</x:v>
      </x:c>
      <x:c r="C128" s="24" t="str">
        <x:v>B — kampania regionalna</x:v>
      </x:c>
      <x:c r="D128" s="47" t="str">
        <x:v>Markowe cygara</x:v>
      </x:c>
      <x:c r="E128" s="47" t="str">
        <x:v>S5 — Cygara i trafiki premium</x:v>
      </x:c>
      <x:c r="F128" s="47" t="str">
        <x:v>Świętokrzyskie</x:v>
      </x:c>
      <x:c r="G128" s="47" t="str"/>
      <x:c r="H128" s="47" t="str">
        <x:v>+48 570 305 007</x:v>
      </x:c>
      <x:c r="I128" s="47" t="str">
        <x:v>https://markowecygara.pl</x:v>
      </x:c>
      <x:c r="J128" s="47" t="str">
        <x:v>email</x:v>
      </x:c>
      <x:c r="K128" s="47" t="str">
        <x:v>Dodać do kampanii regionalnej i wykonać follow-up telefoniczny</x:v>
      </x:c>
      <x:c r="L128" s="47" t="str">
        <x:v>Nowy</x:v>
      </x:c>
      <x:c r="M128" s="47" t="str">
        <x:v>https://markowecygara.pl</x:v>
      </x:c>
      <x:c r="N128" s="95" t="str">
        <x:v>Status źródłowy: Niezweryfikowany</x:v>
      </x:c>
    </x:row>
    <x:row r="129">
      <x:c r="A129" s="23" t="n">
        <x:v>165</x:v>
      </x:c>
      <x:c r="B129" s="24" t="n">
        <x:v>61</x:v>
      </x:c>
      <x:c r="C129" s="24" t="str">
        <x:v>B — kampania regionalna</x:v>
      </x:c>
      <x:c r="D129" s="47" t="str">
        <x:v>Tobacchem</x:v>
      </x:c>
      <x:c r="E129" s="47" t="str">
        <x:v>S1 — RYO/MYO, gilzy i nabijarki</x:v>
      </x:c>
      <x:c r="F129" s="47" t="str">
        <x:v>Ogólnopolska</x:v>
      </x:c>
      <x:c r="G129" s="47" t="str"/>
      <x:c r="H129" s="47" t="str"/>
      <x:c r="I129" s="47" t="str">
        <x:v>https://tobacchem.pl</x:v>
      </x:c>
      <x:c r="J129" s="47" t="str">
        <x:v>email, telefon</x:v>
      </x:c>
      <x:c r="K129" s="47" t="str">
        <x:v>Rozmowa strategiczna z dyrektorem handlowym; bez standardowego cold maila</x:v>
      </x:c>
      <x:c r="L129" s="47" t="str">
        <x:v>Nowy</x:v>
      </x:c>
      <x:c r="M129" s="47" t="str">
        <x:v>https://tobacchem.pl</x:v>
      </x:c>
      <x:c r="N129" s="95" t="str">
        <x:v>Nie potwierdzone | Status źródłowy: Aktywny</x:v>
      </x:c>
    </x:row>
    <x:row r="130">
      <x:c r="A130" s="23" t="n">
        <x:v>166</x:v>
      </x:c>
      <x:c r="B130" s="24" t="n">
        <x:v>61</x:v>
      </x:c>
      <x:c r="C130" s="24" t="str">
        <x:v>B — kampania regionalna</x:v>
      </x:c>
      <x:c r="D130" s="47" t="str">
        <x:v>Merkandi.pl</x:v>
      </x:c>
      <x:c r="E130" s="47" t="str">
        <x:v>S4 — Vape/e-papierosy</x:v>
      </x:c>
      <x:c r="F130" s="47" t="str">
        <x:v>Ogólnopolska</x:v>
      </x:c>
      <x:c r="G130" s="47" t="str"/>
      <x:c r="H130" s="47" t="str"/>
      <x:c r="I130" s="47" t="str">
        <x:v>https://merkandi.pl/hurt/zapalniczki</x:v>
      </x:c>
      <x:c r="J130" s="47" t="str">
        <x:v>email, telefon</x:v>
      </x:c>
      <x:c r="K130" s="47" t="str">
        <x:v>Dodać do kampanii regionalnej i wykonać follow-up telefoniczny</x:v>
      </x:c>
      <x:c r="L130" s="47" t="str">
        <x:v>Nowy</x:v>
      </x:c>
      <x:c r="M130" s="47" t="str">
        <x:v>https://merkandi.pl/hurt/zapalniczki</x:v>
      </x:c>
      <x:c r="N130" s="95" t="str">
        <x:v>Dodano z hurtownicy_pl_127.html; Asortyment: Lighters wholesale — various B2B sellers | Status źródłowy: Aktywny</x:v>
      </x:c>
    </x:row>
    <x:row r="131">
      <x:c r="A131" s="23" t="n">
        <x:v>167</x:v>
      </x:c>
      <x:c r="B131" s="24" t="n">
        <x:v>61</x:v>
      </x:c>
      <x:c r="C131" s="24" t="str">
        <x:v>B — kampania regionalna</x:v>
      </x:c>
      <x:c r="D131" s="47" t="str">
        <x:v>W.O.Z. S.C.</x:v>
      </x:c>
      <x:c r="E131" s="47" t="str">
        <x:v>S2 — Hurtownie tytoniowe/FMCG</x:v>
      </x:c>
      <x:c r="F131" s="47" t="str">
        <x:v>Świętokrzyskie</x:v>
      </x:c>
      <x:c r="G131" s="47" t="str"/>
      <x:c r="H131" s="47" t="str"/>
      <x:c r="I131" s="47" t="str"/>
      <x:c r="J131" s="47" t="str">
        <x:v>email, telefon, WWW</x:v>
      </x:c>
      <x:c r="K131" s="47" t="str">
        <x:v>Dodać do kampanii regionalnej i wykonać follow-up telefoniczny</x:v>
      </x:c>
      <x:c r="L131" s="47" t="str">
        <x:v>Nowy</x:v>
      </x:c>
      <x:c r="M131" s="47" t="str"/>
      <x:c r="N131" s="95" t="str"/>
    </x:row>
    <x:row r="132">
      <x:c r="A132" s="23" t="n">
        <x:v>168</x:v>
      </x:c>
      <x:c r="B132" s="24" t="n">
        <x:v>61</x:v>
      </x:c>
      <x:c r="C132" s="24" t="str">
        <x:v>B — kampania regionalna</x:v>
      </x:c>
      <x:c r="D132" s="47" t="str">
        <x:v>Trafika Nord</x:v>
      </x:c>
      <x:c r="E132" s="47" t="str">
        <x:v>S3 — Akcesoria dla palaczy/headshop</x:v>
      </x:c>
      <x:c r="F132" s="47" t="str">
        <x:v>Podlaskie</x:v>
      </x:c>
      <x:c r="G132" s="47" t="str"/>
      <x:c r="H132" s="47" t="str"/>
      <x:c r="I132" s="47" t="str"/>
      <x:c r="J132" s="47" t="str">
        <x:v>email, telefon, WWW</x:v>
      </x:c>
      <x:c r="K132" s="47" t="str">
        <x:v>Dodać do kampanii regionalnej i wykonać follow-up telefoniczny</x:v>
      </x:c>
      <x:c r="L132" s="47" t="str">
        <x:v>Nowy</x:v>
      </x:c>
      <x:c r="M132" s="47" t="str"/>
      <x:c r="N132" s="95" t="str">
        <x:v>Nie potwierdzone | Status źródłowy: Niezweryfikowany</x:v>
      </x:c>
    </x:row>
    <x:row r="133">
      <x:c r="A133" s="23" t="n">
        <x:v>169</x:v>
      </x:c>
      <x:c r="B133" s="24" t="n">
        <x:v>61</x:v>
      </x:c>
      <x:c r="C133" s="24" t="str">
        <x:v>B — kampania regionalna</x:v>
      </x:c>
      <x:c r="D133" s="47" t="str">
        <x:v>OGRODNICZAK ARTUR Hurtownia</x:v>
      </x:c>
      <x:c r="E133" s="47" t="str">
        <x:v>S2 — Hurtownie tytoniowe/FMCG</x:v>
      </x:c>
      <x:c r="F133" s="47" t="str">
        <x:v>Świętokrzyskie</x:v>
      </x:c>
      <x:c r="G133" s="47" t="str"/>
      <x:c r="H133" s="47" t="str"/>
      <x:c r="I133" s="47" t="str"/>
      <x:c r="J133" s="47" t="str">
        <x:v>email, telefon, WWW</x:v>
      </x:c>
      <x:c r="K133" s="47" t="str">
        <x:v>Dodać do kampanii regionalnej i wykonać follow-up telefoniczny</x:v>
      </x:c>
      <x:c r="L133" s="47" t="str">
        <x:v>Nowy</x:v>
      </x:c>
      <x:c r="M133" s="47" t="str"/>
      <x:c r="N133" s="95" t="str"/>
    </x:row>
    <x:row r="134">
      <x:c r="A134" s="23" t="n">
        <x:v>170</x:v>
      </x:c>
      <x:c r="B134" s="24" t="n">
        <x:v>61</x:v>
      </x:c>
      <x:c r="C134" s="24" t="str">
        <x:v>B — kampania regionalna</x:v>
      </x:c>
      <x:c r="D134" s="47" t="str">
        <x:v>MILO S.A.</x:v>
      </x:c>
      <x:c r="E134" s="47" t="str">
        <x:v>S2 — Hurtownie tytoniowe/FMCG</x:v>
      </x:c>
      <x:c r="F134" s="47" t="str">
        <x:v>Świętokrzyskie</x:v>
      </x:c>
      <x:c r="G134" s="47" t="str"/>
      <x:c r="H134" s="47" t="str"/>
      <x:c r="I134" s="47" t="str"/>
      <x:c r="J134" s="47" t="str">
        <x:v>email, telefon, WWW</x:v>
      </x:c>
      <x:c r="K134" s="47" t="str">
        <x:v>Dodać do kampanii regionalnej i wykonać follow-up telefoniczny</x:v>
      </x:c>
      <x:c r="L134" s="47" t="str">
        <x:v>Nowy</x:v>
      </x:c>
      <x:c r="M134" s="47" t="str"/>
      <x:c r="N134" s="95" t="str"/>
    </x:row>
    <x:row r="135">
      <x:c r="A135" s="23" t="n">
        <x:v>171</x:v>
      </x:c>
      <x:c r="B135" s="24" t="n">
        <x:v>61</x:v>
      </x:c>
      <x:c r="C135" s="24" t="str">
        <x:v>B — kampania regionalna</x:v>
      </x:c>
      <x:c r="D135" s="47" t="str">
        <x:v>KIREX BIS PHU M. Kycia</x:v>
      </x:c>
      <x:c r="E135" s="47" t="str">
        <x:v>S2 — Hurtownie tytoniowe/FMCG</x:v>
      </x:c>
      <x:c r="F135" s="47" t="str">
        <x:v>Świętokrzyskie</x:v>
      </x:c>
      <x:c r="G135" s="47" t="str"/>
      <x:c r="H135" s="47" t="str"/>
      <x:c r="I135" s="47" t="str"/>
      <x:c r="J135" s="47" t="str">
        <x:v>email, telefon, WWW</x:v>
      </x:c>
      <x:c r="K135" s="47" t="str">
        <x:v>Dodać do kampanii regionalnej i wykonać follow-up telefoniczny</x:v>
      </x:c>
      <x:c r="L135" s="47" t="str">
        <x:v>Nowy</x:v>
      </x:c>
      <x:c r="M135" s="47" t="str"/>
      <x:c r="N135" s="95" t="str"/>
    </x:row>
    <x:row r="136">
      <x:c r="A136" s="23" t="n">
        <x:v>172</x:v>
      </x:c>
      <x:c r="B136" s="24" t="n">
        <x:v>61</x:v>
      </x:c>
      <x:c r="C136" s="24" t="str">
        <x:v>B — kampania regionalna</x:v>
      </x:c>
      <x:c r="D136" s="47" t="str">
        <x:v>JOLBEX Firma Handlowa Zygmunt Wangler</x:v>
      </x:c>
      <x:c r="E136" s="47" t="str">
        <x:v>S2 — Hurtownie tytoniowe/FMCG</x:v>
      </x:c>
      <x:c r="F136" s="47" t="str">
        <x:v>Świętokrzyskie</x:v>
      </x:c>
      <x:c r="G136" s="47" t="str"/>
      <x:c r="H136" s="47" t="str"/>
      <x:c r="I136" s="47" t="str"/>
      <x:c r="J136" s="47" t="str">
        <x:v>email, telefon, WWW</x:v>
      </x:c>
      <x:c r="K136" s="47" t="str">
        <x:v>Dodać do kampanii regionalnej i wykonać follow-up telefoniczny</x:v>
      </x:c>
      <x:c r="L136" s="47" t="str">
        <x:v>Nowy</x:v>
      </x:c>
      <x:c r="M136" s="47" t="str"/>
      <x:c r="N136" s="95" t="str"/>
    </x:row>
    <x:row r="137">
      <x:c r="A137" s="23" t="n">
        <x:v>173</x:v>
      </x:c>
      <x:c r="B137" s="24" t="n">
        <x:v>61</x:v>
      </x:c>
      <x:c r="C137" s="24" t="str">
        <x:v>B — kampania regionalna</x:v>
      </x:c>
      <x:c r="D137" s="47" t="str">
        <x:v>CORA Zakład Handlowo-Usługowy</x:v>
      </x:c>
      <x:c r="E137" s="47" t="str">
        <x:v>S2 — Hurtownie tytoniowe/FMCG</x:v>
      </x:c>
      <x:c r="F137" s="47" t="str">
        <x:v>Świętokrzyskie</x:v>
      </x:c>
      <x:c r="G137" s="47" t="str"/>
      <x:c r="H137" s="47" t="str"/>
      <x:c r="I137" s="47" t="str"/>
      <x:c r="J137" s="47" t="str">
        <x:v>email, telefon, WWW</x:v>
      </x:c>
      <x:c r="K137" s="47" t="str">
        <x:v>Dodać do kampanii regionalnej i wykonać follow-up telefoniczny</x:v>
      </x:c>
      <x:c r="L137" s="47" t="str">
        <x:v>Nowy</x:v>
      </x:c>
      <x:c r="M137" s="47" t="str"/>
      <x:c r="N137" s="95" t="str"/>
    </x:row>
    <x:row r="138">
      <x:c r="A138" s="23" t="n">
        <x:v>174</x:v>
      </x:c>
      <x:c r="B138" s="24" t="n">
        <x:v>61</x:v>
      </x:c>
      <x:c r="C138" s="24" t="str">
        <x:v>B — kampania regionalna</x:v>
      </x:c>
      <x:c r="D138" s="47" t="str">
        <x:v>CARO Sp.j. R. i R. Niewczas</x:v>
      </x:c>
      <x:c r="E138" s="47" t="str">
        <x:v>S2 — Hurtownie tytoniowe/FMCG</x:v>
      </x:c>
      <x:c r="F138" s="47" t="str">
        <x:v>Świętokrzyskie</x:v>
      </x:c>
      <x:c r="G138" s="47" t="str"/>
      <x:c r="H138" s="47" t="str"/>
      <x:c r="I138" s="47" t="str"/>
      <x:c r="J138" s="47" t="str">
        <x:v>email, telefon, WWW</x:v>
      </x:c>
      <x:c r="K138" s="47" t="str">
        <x:v>Dodać do kampanii regionalnej i wykonać follow-up telefoniczny</x:v>
      </x:c>
      <x:c r="L138" s="47" t="str">
        <x:v>Nowy</x:v>
      </x:c>
      <x:c r="M138" s="47" t="str"/>
      <x:c r="N138" s="95" t="str"/>
    </x:row>
    <x:row r="139">
      <x:c r="A139" s="23" t="n">
        <x:v>175</x:v>
      </x:c>
      <x:c r="B139" s="24" t="n">
        <x:v>61</x:v>
      </x:c>
      <x:c r="C139" s="24" t="str">
        <x:v>B — kampania regionalna</x:v>
      </x:c>
      <x:c r="D139" s="47" t="str">
        <x:v>CARMEN S.C.</x:v>
      </x:c>
      <x:c r="E139" s="47" t="str">
        <x:v>S2 — Hurtownie tytoniowe/FMCG</x:v>
      </x:c>
      <x:c r="F139" s="47" t="str">
        <x:v>Świętokrzyskie</x:v>
      </x:c>
      <x:c r="G139" s="47" t="str"/>
      <x:c r="H139" s="47" t="str"/>
      <x:c r="I139" s="47" t="str"/>
      <x:c r="J139" s="47" t="str">
        <x:v>email, telefon, WWW</x:v>
      </x:c>
      <x:c r="K139" s="47" t="str">
        <x:v>Dodać do kampanii regionalnej i wykonać follow-up telefoniczny</x:v>
      </x:c>
      <x:c r="L139" s="47" t="str">
        <x:v>Nowy</x:v>
      </x:c>
      <x:c r="M139" s="47" t="str"/>
      <x:c r="N139" s="95" t="str"/>
    </x:row>
    <x:row r="140">
      <x:c r="A140" s="23" t="n">
        <x:v>176</x:v>
      </x:c>
      <x:c r="B140" s="24" t="n">
        <x:v>61</x:v>
      </x:c>
      <x:c r="C140" s="24" t="str">
        <x:v>B — kampania regionalna</x:v>
      </x:c>
      <x:c r="D140" s="47" t="str">
        <x:v>BONUS Hurtownia Papierosów</x:v>
      </x:c>
      <x:c r="E140" s="47" t="str">
        <x:v>S2 — Hurtownie tytoniowe/FMCG</x:v>
      </x:c>
      <x:c r="F140" s="47" t="str">
        <x:v>Świętokrzyskie</x:v>
      </x:c>
      <x:c r="G140" s="47" t="str"/>
      <x:c r="H140" s="47" t="str"/>
      <x:c r="I140" s="47" t="str"/>
      <x:c r="J140" s="47" t="str">
        <x:v>email, telefon, WWW</x:v>
      </x:c>
      <x:c r="K140" s="47" t="str">
        <x:v>Dodać do kampanii regionalnej i wykonać follow-up telefoniczny</x:v>
      </x:c>
      <x:c r="L140" s="47" t="str">
        <x:v>Nowy</x:v>
      </x:c>
      <x:c r="M140" s="47" t="str"/>
      <x:c r="N140" s="95" t="str"/>
    </x:row>
    <x:row r="141">
      <x:c r="A141" s="23" t="n">
        <x:v>177</x:v>
      </x:c>
      <x:c r="B141" s="24" t="n">
        <x:v>61</x:v>
      </x:c>
      <x:c r="C141" s="24" t="str">
        <x:v>B — kampania regionalna</x:v>
      </x:c>
      <x:c r="D141" s="47" t="str">
        <x:v>ACORD Sp. z o.o.</x:v>
      </x:c>
      <x:c r="E141" s="47" t="str">
        <x:v>S2 — Hurtownie tytoniowe/FMCG</x:v>
      </x:c>
      <x:c r="F141" s="47" t="str">
        <x:v>Opolskie</x:v>
      </x:c>
      <x:c r="G141" s="47" t="str"/>
      <x:c r="H141" s="47" t="str"/>
      <x:c r="I141" s="47" t="str"/>
      <x:c r="J141" s="47" t="str">
        <x:v>email, telefon, WWW</x:v>
      </x:c>
      <x:c r="K141" s="47" t="str">
        <x:v>Dodać do kampanii regionalnej i wykonać follow-up telefoniczny</x:v>
      </x:c>
      <x:c r="L141" s="47" t="str">
        <x:v>Nowy</x:v>
      </x:c>
      <x:c r="M141" s="47" t="str"/>
      <x:c r="N141" s="95" t="str"/>
    </x:row>
    <x:row r="142">
      <x:c r="A142" s="23" t="n">
        <x:v>178</x:v>
      </x:c>
      <x:c r="B142" s="24" t="n">
        <x:v>60</x:v>
      </x:c>
      <x:c r="C142" s="24" t="str">
        <x:v>B — kampania regionalna</x:v>
      </x:c>
      <x:c r="D142" s="47" t="str">
        <x:v>Hurtownia Papierosów "DANA"</x:v>
      </x:c>
      <x:c r="E142" s="47" t="str">
        <x:v>S4 — Vape/e-papierosy</x:v>
      </x:c>
      <x:c r="F142" s="47" t="str">
        <x:v>Łódzkie</x:v>
      </x:c>
      <x:c r="G142" s="47" t="str"/>
      <x:c r="H142" s="47" t="str">
        <x:v>+48 42 214 97 55</x:v>
      </x:c>
      <x:c r="I142" s="47" t="str"/>
      <x:c r="J142" s="47" t="str">
        <x:v>email, WWW</x:v>
      </x:c>
      <x:c r="K142" s="47" t="str">
        <x:v>Dodać do kampanii regionalnej i wykonać follow-up telefoniczny</x:v>
      </x:c>
      <x:c r="L142" s="47" t="str">
        <x:v>Nowy</x:v>
      </x:c>
      <x:c r="M142" s="47" t="str"/>
      <x:c r="N142" s="95" t="str">
        <x:v>Może mieć klientów zarówno tradycyjnych, jak i vape; należy potwierdzić aktywność. | Status źródłowy: Do weryfikacji — katalog</x:v>
      </x:c>
    </x:row>
    <x:row r="143">
      <x:c r="A143" s="23" t="n">
        <x:v>179</x:v>
      </x:c>
      <x:c r="B143" s="24" t="n">
        <x:v>60</x:v>
      </x:c>
      <x:c r="C143" s="24" t="str">
        <x:v>B — kampania regionalna</x:v>
      </x:c>
      <x:c r="D143" s="47" t="str">
        <x:v>Rafani 2 Tomasz Kitkowski</x:v>
      </x:c>
      <x:c r="E143" s="47" t="str">
        <x:v>S3 — Akcesoria dla palaczy/headshop</x:v>
      </x:c>
      <x:c r="F143" s="47" t="str">
        <x:v>Nieustalony</x:v>
      </x:c>
      <x:c r="G143" s="47" t="str"/>
      <x:c r="H143" s="47" t="str"/>
      <x:c r="I143" s="47" t="str">
        <x:v>https://m.yelp.com/search?find_desc=Tobacco+Shops&amp;find_loc=Olsztyn%2C+WN</x:v>
      </x:c>
      <x:c r="J143" s="47" t="str">
        <x:v>email, telefon</x:v>
      </x:c>
      <x:c r="K143" s="47" t="str">
        <x:v>Dodać do kampanii regionalnej i wykonać follow-up telefoniczny</x:v>
      </x:c>
      <x:c r="L143" s="47" t="str">
        <x:v>Nowy</x:v>
      </x:c>
      <x:c r="M143" s="47" t="str">
        <x:v>https://m.yelp.com/search?find_desc=Tobacco+Shops&amp;find_loc=Olsztyn%2C+WN</x:v>
      </x:c>
      <x:c r="N143" s="95" t="str">
        <x:v>Status źródłowy: Niezweryfikowany</x:v>
      </x:c>
    </x:row>
    <x:row r="144">
      <x:c r="A144" s="23" t="n">
        <x:v>180</x:v>
      </x:c>
      <x:c r="B144" s="24" t="n">
        <x:v>59</x:v>
      </x:c>
      <x:c r="C144" s="24" t="str">
        <x:v>B — kampania regionalna</x:v>
      </x:c>
      <x:c r="D144" s="47" t="str">
        <x:v>E-nilsen.pl</x:v>
      </x:c>
      <x:c r="E144" s="47" t="str">
        <x:v>S4 — Vape/e-papierosy</x:v>
      </x:c>
      <x:c r="F144" s="47" t="str">
        <x:v>Mazowieckie</x:v>
      </x:c>
      <x:c r="G144" s="47" t="str"/>
      <x:c r="H144" s="47" t="str">
        <x:v>+48 22 487 70 88</x:v>
      </x:c>
      <x:c r="I144" s="47" t="str"/>
      <x:c r="J144" s="47" t="str">
        <x:v>email, WWW</x:v>
      </x:c>
      <x:c r="K144" s="47" t="str">
        <x:v>Dodać do kampanii regionalnej i wykonać follow-up telefoniczny</x:v>
      </x:c>
      <x:c r="L144" s="47" t="str">
        <x:v>Nowy</x:v>
      </x:c>
      <x:c r="M144" s="47" t="str"/>
      <x:c r="N144" s="95" t="str"/>
    </x:row>
    <x:row r="145">
      <x:c r="A145" s="23" t="n">
        <x:v>181</x:v>
      </x:c>
      <x:c r="B145" s="24" t="n">
        <x:v>59</x:v>
      </x:c>
      <x:c r="C145" s="24" t="str">
        <x:v>B — kampania regionalna</x:v>
      </x:c>
      <x:c r="D145" s="47" t="str">
        <x:v>Caro. Hurtownia papierosów. Żach K.</x:v>
      </x:c>
      <x:c r="E145" s="47" t="str">
        <x:v>S4 — Vape/e-papierosy</x:v>
      </x:c>
      <x:c r="F145" s="47" t="str">
        <x:v>Mazowieckie</x:v>
      </x:c>
      <x:c r="G145" s="47" t="str"/>
      <x:c r="H145" s="47" t="str">
        <x:v>+48 29 745 29 33</x:v>
      </x:c>
      <x:c r="I145" s="47" t="str"/>
      <x:c r="J145" s="47" t="str">
        <x:v>email, WWW</x:v>
      </x:c>
      <x:c r="K145" s="47" t="str">
        <x:v>Dodać do kampanii regionalnej i wykonać follow-up telefoniczny</x:v>
      </x:c>
      <x:c r="L145" s="47" t="str">
        <x:v>Nowy</x:v>
      </x:c>
      <x:c r="M145" s="47" t="str"/>
      <x:c r="N145" s="95" t="str">
        <x:v>Dodano z Hurtownicy-Wszystkie-Dane-Zebrane_matrix_v10.html; Map link: https://www.google.com/maps/search/?api=1&amp;query=Caro.%20Hurtownia%20papieros%C3%B3w.%20%C5%BBach%20K.&amp;query_place_id=ChIJ57cTD0erH0cROZwd1Cm6oJU | Status źródłowy: Niezweryfikowany</x:v>
      </x:c>
    </x:row>
    <x:row r="146">
      <x:c r="A146" s="23" t="n">
        <x:v>182</x:v>
      </x:c>
      <x:c r="B146" s="24" t="n">
        <x:v>59</x:v>
      </x:c>
      <x:c r="C146" s="24" t="str">
        <x:v>B — kampania regionalna</x:v>
      </x:c>
      <x:c r="D146" s="47" t="str">
        <x:v>Tanie Palenie POINT</x:v>
      </x:c>
      <x:c r="E146" s="47" t="str">
        <x:v>S2 — Hurtownie tytoniowe/FMCG</x:v>
      </x:c>
      <x:c r="F146" s="47" t="str">
        <x:v>Śląskie</x:v>
      </x:c>
      <x:c r="G146" s="47" t="str"/>
      <x:c r="H146" s="47" t="str"/>
      <x:c r="I146" s="47" t="str">
        <x:v>https://baza-firm.com.pl/tyton-...</x:v>
      </x:c>
      <x:c r="J146" s="47" t="str">
        <x:v>email, telefon</x:v>
      </x:c>
      <x:c r="K146" s="47" t="str">
        <x:v>Dodać do kampanii regionalnej i wykonać follow-up telefoniczny</x:v>
      </x:c>
      <x:c r="L146" s="47" t="str">
        <x:v>Nowy</x:v>
      </x:c>
      <x:c r="M146" s="47" t="str">
        <x:v>https://baza-firm.com.pl/tyton-...</x:v>
      </x:c>
      <x:c r="N146" s="95" t="str">
        <x:v>Nie potwierdzone</x:v>
      </x:c>
    </x:row>
    <x:row r="147">
      <x:c r="A147" s="23" t="n">
        <x:v>183</x:v>
      </x:c>
      <x:c r="B147" s="24" t="n">
        <x:v>59</x:v>
      </x:c>
      <x:c r="C147" s="24" t="str">
        <x:v>B — kampania regionalna</x:v>
      </x:c>
      <x:c r="D147" s="47" t="str">
        <x:v>Pol-Ta</x:v>
      </x:c>
      <x:c r="E147" s="47" t="str">
        <x:v>S2 — Hurtownie tytoniowe/FMCG</x:v>
      </x:c>
      <x:c r="F147" s="47" t="str">
        <x:v>Dolnośląskie</x:v>
      </x:c>
      <x:c r="G147" s="47" t="str"/>
      <x:c r="H147" s="47" t="str"/>
      <x:c r="I147" s="47" t="str">
        <x:v>https://pol-ta.pl</x:v>
      </x:c>
      <x:c r="J147" s="47" t="str">
        <x:v>email, telefon</x:v>
      </x:c>
      <x:c r="K147" s="47" t="str">
        <x:v>Dodać do kampanii regionalnej i wykonać follow-up telefoniczny</x:v>
      </x:c>
      <x:c r="L147" s="47" t="str">
        <x:v>Nowy</x:v>
      </x:c>
      <x:c r="M147" s="47" t="str">
        <x:v>https://pol-ta.pl</x:v>
      </x:c>
      <x:c r="N147" s="95" t="str">
        <x:v>Nie potwierdzone</x:v>
      </x:c>
    </x:row>
    <x:row r="148">
      <x:c r="A148" s="23" t="n">
        <x:v>184</x:v>
      </x:c>
      <x:c r="B148" s="24" t="n">
        <x:v>59</x:v>
      </x:c>
      <x:c r="C148" s="24" t="str">
        <x:v>B — kampania regionalna</x:v>
      </x:c>
      <x:c r="D148" s="47" t="str">
        <x:v>Milo Sp. z o.o.</x:v>
      </x:c>
      <x:c r="E148" s="47" t="str">
        <x:v>S2 — Hurtownie tytoniowe/FMCG</x:v>
      </x:c>
      <x:c r="F148" s="47" t="str">
        <x:v>Dolnośląskie</x:v>
      </x:c>
      <x:c r="G148" s="47" t="str"/>
      <x:c r="H148" s="47" t="str"/>
      <x:c r="I148" s="47" t="str">
        <x:v>https://milo.lubin.pl</x:v>
      </x:c>
      <x:c r="J148" s="47" t="str">
        <x:v>email, telefon</x:v>
      </x:c>
      <x:c r="K148" s="47" t="str">
        <x:v>Dodać do kampanii regionalnej i wykonać follow-up telefoniczny</x:v>
      </x:c>
      <x:c r="L148" s="47" t="str">
        <x:v>Nowy</x:v>
      </x:c>
      <x:c r="M148" s="47" t="str">
        <x:v>https://milo.lubin.pl</x:v>
      </x:c>
      <x:c r="N148" s="95" t="str">
        <x:v>Nie potwierdzone</x:v>
      </x:c>
    </x:row>
    <x:row r="149">
      <x:c r="A149" s="23" t="n">
        <x:v>185</x:v>
      </x:c>
      <x:c r="B149" s="24" t="n">
        <x:v>59</x:v>
      </x:c>
      <x:c r="C149" s="24" t="str">
        <x:v>B — kampania regionalna</x:v>
      </x:c>
      <x:c r="D149" s="47" t="str">
        <x:v>Hurtownia Papierosów Grażyna Baltadzi</x:v>
      </x:c>
      <x:c r="E149" s="47" t="str">
        <x:v>S2 — Hurtownie tytoniowe/FMCG</x:v>
      </x:c>
      <x:c r="F149" s="47" t="str">
        <x:v>Dolnośląskie</x:v>
      </x:c>
      <x:c r="G149" s="47" t="str"/>
      <x:c r="H149" s="47" t="str"/>
      <x:c r="I149" s="47" t="str">
        <x:v>https://papierosy.lubin.pl</x:v>
      </x:c>
      <x:c r="J149" s="47" t="str">
        <x:v>email, telefon</x:v>
      </x:c>
      <x:c r="K149" s="47" t="str">
        <x:v>Dodać do kampanii regionalnej i wykonać follow-up telefoniczny</x:v>
      </x:c>
      <x:c r="L149" s="47" t="str">
        <x:v>Nowy</x:v>
      </x:c>
      <x:c r="M149" s="47" t="str">
        <x:v>https://papierosy.lubin.pl</x:v>
      </x:c>
      <x:c r="N149" s="95" t="str">
        <x:v>Nie potwierdzone</x:v>
      </x:c>
    </x:row>
    <x:row r="150">
      <x:c r="A150" s="23" t="n">
        <x:v>186</x:v>
      </x:c>
      <x:c r="B150" s="24" t="n">
        <x:v>59</x:v>
      </x:c>
      <x:c r="C150" s="24" t="str">
        <x:v>B — kampania regionalna</x:v>
      </x:c>
      <x:c r="D150" s="47" t="str">
        <x:v>Efekt Łódź</x:v>
      </x:c>
      <x:c r="E150" s="47" t="str">
        <x:v>S2 — Hurtownie tytoniowe/FMCG</x:v>
      </x:c>
      <x:c r="F150" s="47" t="str">
        <x:v>Łódzkie</x:v>
      </x:c>
      <x:c r="G150" s="47" t="str"/>
      <x:c r="H150" s="47" t="str"/>
      <x:c r="I150" s="47" t="str">
        <x:v>https://efekt-lodz.pl</x:v>
      </x:c>
      <x:c r="J150" s="47" t="str">
        <x:v>email, telefon</x:v>
      </x:c>
      <x:c r="K150" s="47" t="str">
        <x:v>Dodać do kampanii regionalnej i wykonać follow-up telefoniczny</x:v>
      </x:c>
      <x:c r="L150" s="47" t="str">
        <x:v>Nowy</x:v>
      </x:c>
      <x:c r="M150" s="47" t="str">
        <x:v>https://efekt-lodz.pl</x:v>
      </x:c>
      <x:c r="N150" s="95" t="str">
        <x:v>Nie potwierdzone</x:v>
      </x:c>
    </x:row>
    <x:row r="151">
      <x:c r="A151" s="23" t="n">
        <x:v>187</x:v>
      </x:c>
      <x:c r="B151" s="24" t="n">
        <x:v>59</x:v>
      </x:c>
      <x:c r="C151" s="24" t="str">
        <x:v>B — kampania regionalna</x:v>
      </x:c>
      <x:c r="D151" s="47" t="str">
        <x:v>Carmen Polska</x:v>
      </x:c>
      <x:c r="E151" s="47" t="str">
        <x:v>S2 — Hurtownie tytoniowe/FMCG</x:v>
      </x:c>
      <x:c r="F151" s="47" t="str">
        <x:v>Łódzkie</x:v>
      </x:c>
      <x:c r="G151" s="47" t="str"/>
      <x:c r="H151" s="47" t="str"/>
      <x:c r="I151" s="47" t="str">
        <x:v>https://carmenpolska.pl</x:v>
      </x:c>
      <x:c r="J151" s="47" t="str">
        <x:v>email, telefon</x:v>
      </x:c>
      <x:c r="K151" s="47" t="str">
        <x:v>Dodać do kampanii regionalnej i wykonać follow-up telefoniczny</x:v>
      </x:c>
      <x:c r="L151" s="47" t="str">
        <x:v>Nowy</x:v>
      </x:c>
      <x:c r="M151" s="47" t="str">
        <x:v>https://carmenpolska.pl</x:v>
      </x:c>
      <x:c r="N151" s="95" t="str">
        <x:v>Nie potwierdzone</x:v>
      </x:c>
    </x:row>
    <x:row r="152">
      <x:c r="A152" s="23" t="n">
        <x:v>188</x:v>
      </x:c>
      <x:c r="B152" s="24" t="n">
        <x:v>59</x:v>
      </x:c>
      <x:c r="C152" s="24" t="str">
        <x:v>B — kampania regionalna</x:v>
      </x:c>
      <x:c r="D152" s="47" t="str">
        <x:v>Tabak Kraków</x:v>
      </x:c>
      <x:c r="E152" s="47" t="str">
        <x:v>S2 — Hurtownie tytoniowe/FMCG</x:v>
      </x:c>
      <x:c r="F152" s="47" t="str">
        <x:v>Małopolskie</x:v>
      </x:c>
      <x:c r="G152" s="47" t="str"/>
      <x:c r="H152" s="47" t="str"/>
      <x:c r="I152" s="47" t="str"/>
      <x:c r="J152" s="47" t="str">
        <x:v>email, telefon, WWW</x:v>
      </x:c>
      <x:c r="K152" s="47" t="str">
        <x:v>Dodać do kampanii regionalnej i wykonać follow-up telefoniczny</x:v>
      </x:c>
      <x:c r="L152" s="47" t="str">
        <x:v>Nowy</x:v>
      </x:c>
      <x:c r="M152" s="47" t="str"/>
      <x:c r="N152" s="95" t="str"/>
    </x:row>
    <x:row r="153">
      <x:c r="A153" s="23" t="n">
        <x:v>189</x:v>
      </x:c>
      <x:c r="B153" s="24" t="n">
        <x:v>59</x:v>
      </x:c>
      <x:c r="C153" s="24" t="str">
        <x:v>B — kampania regionalna</x:v>
      </x:c>
      <x:c r="D153" s="47" t="str">
        <x:v>Step Two</x:v>
      </x:c>
      <x:c r="E153" s="47" t="str">
        <x:v>S2 — Hurtownie tytoniowe/FMCG</x:v>
      </x:c>
      <x:c r="F153" s="47" t="str">
        <x:v>Nieustalony</x:v>
      </x:c>
      <x:c r="G153" s="47" t="str"/>
      <x:c r="H153" s="47" t="str"/>
      <x:c r="I153" s="47" t="str"/>
      <x:c r="J153" s="47" t="str">
        <x:v>email, telefon, WWW</x:v>
      </x:c>
      <x:c r="K153" s="47" t="str">
        <x:v>Dodać do kampanii regionalnej i wykonać follow-up telefoniczny</x:v>
      </x:c>
      <x:c r="L153" s="47" t="str">
        <x:v>Nowy</x:v>
      </x:c>
      <x:c r="M153" s="47" t="str"/>
      <x:c r="N153" s="95" t="str">
        <x:v>Z listy BISTA; pomorskie i wielkopolskie</x:v>
      </x:c>
    </x:row>
    <x:row r="154">
      <x:c r="A154" s="23" t="n">
        <x:v>190</x:v>
      </x:c>
      <x:c r="B154" s="24" t="n">
        <x:v>58</x:v>
      </x:c>
      <x:c r="C154" s="24" t="str">
        <x:v>B — kampania regionalna</x:v>
      </x:c>
      <x:c r="D154" s="47" t="str">
        <x:v>Tytoniowo</x:v>
      </x:c>
      <x:c r="E154" s="47" t="str">
        <x:v>S3 — Akcesoria dla palaczy/headshop</x:v>
      </x:c>
      <x:c r="F154" s="47" t="str">
        <x:v>Nieustalony</x:v>
      </x:c>
      <x:c r="G154" s="47" t="str"/>
      <x:c r="H154" s="47" t="str"/>
      <x:c r="I154" s="47" t="str">
        <x:v>https://www.tytoniowo.pl</x:v>
      </x:c>
      <x:c r="J154" s="47" t="str">
        <x:v>email, telefon</x:v>
      </x:c>
      <x:c r="K154" s="47" t="str">
        <x:v>Dodać do kampanii regionalnej i wykonać follow-up telefoniczny</x:v>
      </x:c>
      <x:c r="L154" s="47" t="str">
        <x:v>Nowy</x:v>
      </x:c>
      <x:c r="M154" s="47" t="str">
        <x:v>https://www.tytoniowo.pl</x:v>
      </x:c>
      <x:c r="N154" s="95" t="str">
        <x:v>Status źródłowy: Niezweryfikowany</x:v>
      </x:c>
    </x:row>
    <x:row r="155">
      <x:c r="A155" s="23" t="n">
        <x:v>191</x:v>
      </x:c>
      <x:c r="B155" s="24" t="n">
        <x:v>58</x:v>
      </x:c>
      <x:c r="C155" s="24" t="str">
        <x:v>B — kampania regionalna</x:v>
      </x:c>
      <x:c r="D155" s="47" t="str">
        <x:v>Trafika u Jakuba</x:v>
      </x:c>
      <x:c r="E155" s="47" t="str">
        <x:v>S3 — Akcesoria dla palaczy/headshop</x:v>
      </x:c>
      <x:c r="F155" s="47" t="str">
        <x:v>Nieustalony</x:v>
      </x:c>
      <x:c r="G155" s="47" t="str"/>
      <x:c r="H155" s="47" t="str"/>
      <x:c r="I155" s="47" t="str">
        <x:v>http://www.jakubphu.pl</x:v>
      </x:c>
      <x:c r="J155" s="47" t="str">
        <x:v>email, telefon</x:v>
      </x:c>
      <x:c r="K155" s="47" t="str">
        <x:v>Dodać do kampanii regionalnej i wykonać follow-up telefoniczny</x:v>
      </x:c>
      <x:c r="L155" s="47" t="str">
        <x:v>Nowy</x:v>
      </x:c>
      <x:c r="M155" s="47" t="str">
        <x:v>http://www.jakubphu.pl</x:v>
      </x:c>
      <x:c r="N155" s="95" t="str">
        <x:v>Status źródłowy: Niezweryfikowany</x:v>
      </x:c>
    </x:row>
    <x:row r="156">
      <x:c r="A156" s="23" t="n">
        <x:v>192</x:v>
      </x:c>
      <x:c r="B156" s="24" t="n">
        <x:v>58</x:v>
      </x:c>
      <x:c r="C156" s="24" t="str">
        <x:v>B — kampania regionalna</x:v>
      </x:c>
      <x:c r="D156" s="47" t="str">
        <x:v>Smok</x:v>
      </x:c>
      <x:c r="E156" s="47" t="str">
        <x:v>S3 — Akcesoria dla palaczy/headshop</x:v>
      </x:c>
      <x:c r="F156" s="47" t="str">
        <x:v>Nieustalony</x:v>
      </x:c>
      <x:c r="G156" s="47" t="str"/>
      <x:c r="H156" s="47" t="str"/>
      <x:c r="I156" s="47" t="str">
        <x:v>https://smok.pl</x:v>
      </x:c>
      <x:c r="J156" s="47" t="str">
        <x:v>email, telefon</x:v>
      </x:c>
      <x:c r="K156" s="47" t="str">
        <x:v>Dodać do kampanii regionalnej i wykonać follow-up telefoniczny</x:v>
      </x:c>
      <x:c r="L156" s="47" t="str">
        <x:v>Nowy</x:v>
      </x:c>
      <x:c r="M156" s="47" t="str">
        <x:v>https://smok.pl</x:v>
      </x:c>
      <x:c r="N156" s="95" t="str">
        <x:v>Status źródłowy: Niezweryfikowany</x:v>
      </x:c>
    </x:row>
    <x:row r="157">
      <x:c r="A157" s="23" t="n">
        <x:v>193</x:v>
      </x:c>
      <x:c r="B157" s="24" t="n">
        <x:v>58</x:v>
      </x:c>
      <x:c r="C157" s="24" t="str">
        <x:v>B — kampania regionalna</x:v>
      </x:c>
      <x:c r="D157" s="47" t="str">
        <x:v>Elso</x:v>
      </x:c>
      <x:c r="E157" s="47" t="str">
        <x:v>S3 — Akcesoria dla palaczy/headshop</x:v>
      </x:c>
      <x:c r="F157" s="47" t="str">
        <x:v>Nieustalony</x:v>
      </x:c>
      <x:c r="G157" s="47" t="str"/>
      <x:c r="H157" s="47" t="str"/>
      <x:c r="I157" s="47" t="str">
        <x:v>https://www.elso.pl</x:v>
      </x:c>
      <x:c r="J157" s="47" t="str">
        <x:v>email, telefon</x:v>
      </x:c>
      <x:c r="K157" s="47" t="str">
        <x:v>Dodać do kampanii regionalnej i wykonać follow-up telefoniczny</x:v>
      </x:c>
      <x:c r="L157" s="47" t="str">
        <x:v>Nowy</x:v>
      </x:c>
      <x:c r="M157" s="47" t="str">
        <x:v>https://www.elso.pl</x:v>
      </x:c>
      <x:c r="N157" s="95" t="str">
        <x:v>Status źródłowy: Niezweryfikowany</x:v>
      </x:c>
    </x:row>
    <x:row r="158">
      <x:c r="A158" s="23" t="n">
        <x:v>197</x:v>
      </x:c>
      <x:c r="B158" s="24" t="n">
        <x:v>55</x:v>
      </x:c>
      <x:c r="C158" s="24" t="str">
        <x:v>C — weryfikacja i nurturing</x:v>
      </x:c>
      <x:c r="D158" s="47" t="str">
        <x:v>Królestwo Tytoniu</x:v>
      </x:c>
      <x:c r="E158" s="47" t="str">
        <x:v>S3 — Akcesoria dla palaczy/headshop</x:v>
      </x:c>
      <x:c r="F158" s="47" t="str">
        <x:v>Małopolskie</x:v>
      </x:c>
      <x:c r="G158" s="47" t="str"/>
      <x:c r="H158" s="47" t="str">
        <x:v>888 370 999</x:v>
      </x:c>
      <x:c r="I158" s="47" t="str">
        <x:v>https://krolestwotytoniu.pl</x:v>
      </x:c>
      <x:c r="J158" s="47" t="str">
        <x:v>email</x:v>
      </x:c>
      <x:c r="K158" s="47" t="str">
        <x:v>Zweryfikować dane, produkty i status B2B przed kontaktem</x:v>
      </x:c>
      <x:c r="L158" s="47" t="str">
        <x:v>Nowy</x:v>
      </x:c>
      <x:c r="M158" s="47" t="str">
        <x:v>https://krolestwotytoniu.pl</x:v>
      </x:c>
      <x:c r="N158" s="95" t="str">
        <x:v>Nie potwierdzone | Status źródłowy: Aktywny</x:v>
      </x:c>
    </x:row>
    <x:row r="159">
      <x:c r="A159" s="23" t="n">
        <x:v>198</x:v>
      </x:c>
      <x:c r="B159" s="24" t="n">
        <x:v>54</x:v>
      </x:c>
      <x:c r="C159" s="24" t="str">
        <x:v>C — weryfikacja i nurturing</x:v>
      </x:c>
      <x:c r="D159" s="47" t="str">
        <x:v>Viva S.j. — Hurtownia Papierosów</x:v>
      </x:c>
      <x:c r="E159" s="47" t="str">
        <x:v>S4 — Vape/e-papierosy</x:v>
      </x:c>
      <x:c r="F159" s="47" t="str">
        <x:v>Świętokrzyskie</x:v>
      </x:c>
      <x:c r="G159" s="47" t="str"/>
      <x:c r="H159" s="47" t="str"/>
      <x:c r="I159" s="47" t="str">
        <x:v>https://www.cylex-polska.pl/firmy/viva--s-j--hurtownia-papieros%C3%B3w-10504502.html</x:v>
      </x:c>
      <x:c r="J159" s="47" t="str">
        <x:v>email, telefon</x:v>
      </x:c>
      <x:c r="K159" s="47" t="str">
        <x:v>Zweryfikować dane, produkty i status B2B przed kontaktem</x:v>
      </x:c>
      <x:c r="L159" s="47" t="str">
        <x:v>Nowy</x:v>
      </x:c>
      <x:c r="M159" s="47" t="str">
        <x:v>https://www.cylex-polska.pl/firmy/viva--s-j--hurtownia-papieros%C3%B3w-10504502.html</x:v>
      </x:c>
      <x:c r="N159" s="95" t="str">
        <x:v>Dodano z hurtownicy_pl_127.html; Asortyment: Cigarettes, tobacco | Status źródłowy: Aktywny</x:v>
      </x:c>
    </x:row>
    <x:row r="160">
      <x:c r="A160" s="23" t="n">
        <x:v>199</x:v>
      </x:c>
      <x:c r="B160" s="24" t="n">
        <x:v>54</x:v>
      </x:c>
      <x:c r="C160" s="24" t="str">
        <x:v>C — weryfikacja i nurturing</x:v>
      </x:c>
      <x:c r="D160" s="47" t="str">
        <x:v>Smok Hurtownia Papierosów</x:v>
      </x:c>
      <x:c r="E160" s="47" t="str">
        <x:v>S4 — Vape/e-papierosy</x:v>
      </x:c>
      <x:c r="F160" s="47" t="str">
        <x:v>Mazowieckie</x:v>
      </x:c>
      <x:c r="G160" s="47" t="str"/>
      <x:c r="H160" s="47" t="str"/>
      <x:c r="I160" s="47" t="str">
        <x:v>https://mapa.targeo.pl/smok-hurtownia-papierosow-armii-krajowej-32-05-220-zielonka~5523255/przedsiebiorstwo-firma/adres</x:v>
      </x:c>
      <x:c r="J160" s="47" t="str">
        <x:v>email, telefon</x:v>
      </x:c>
      <x:c r="K160" s="47" t="str">
        <x:v>Zweryfikować dane, produkty i status B2B przed kontaktem</x:v>
      </x:c>
      <x:c r="L160" s="47" t="str">
        <x:v>Nowy</x:v>
      </x:c>
      <x:c r="M160" s="47" t="str">
        <x:v>https://mapa.targeo.pl/smok-hurtownia-papierosow-armii-krajowej-32-05-220-zielonka~5523255/przedsiebiorstwo-firma/adres</x:v>
      </x:c>
      <x:c r="N160" s="95" t="str">
        <x:v>Dodano z hurtownicy_pl_127.html; Asortyment: Cigarettes, tobacco | Status źródłowy: Aktywny</x:v>
      </x:c>
    </x:row>
    <x:row r="161">
      <x:c r="A161" s="23" t="n">
        <x:v>200</x:v>
      </x:c>
      <x:c r="B161" s="24" t="n">
        <x:v>54</x:v>
      </x:c>
      <x:c r="C161" s="24" t="str">
        <x:v>C — weryfikacja i nurturing</x:v>
      </x:c>
      <x:c r="D161" s="47" t="str">
        <x:v>PAKO FW H. Komorowska i J. Komorowski</x:v>
      </x:c>
      <x:c r="E161" s="47" t="str">
        <x:v>S4 — Vape/e-papierosy</x:v>
      </x:c>
      <x:c r="F161" s="47" t="str">
        <x:v>Opolskie</x:v>
      </x:c>
      <x:c r="G161" s="47" t="str"/>
      <x:c r="H161" s="47" t="str"/>
      <x:c r="I161" s="47" t="str">
        <x:v>https://www.hurtownie.pl/hurtownie,.html?q=papierosy\&amp;p=15</x:v>
      </x:c>
      <x:c r="J161" s="47" t="str">
        <x:v>email, telefon</x:v>
      </x:c>
      <x:c r="K161" s="47" t="str">
        <x:v>Zweryfikować dane, produkty i status B2B przed kontaktem</x:v>
      </x:c>
      <x:c r="L161" s="47" t="str">
        <x:v>Nowy</x:v>
      </x:c>
      <x:c r="M161" s="47" t="str">
        <x:v>https://www.hurtownie.pl/hurtownie,.html?q=papierosy\&amp;p=15</x:v>
      </x:c>
      <x:c r="N161" s="95" t="str">
        <x:v>Dodano z hurtownicy_pl_127.html; Asortyment: Tobacco products | Status źródłowy: Aktywny</x:v>
      </x:c>
    </x:row>
    <x:row r="162">
      <x:c r="A162" s="23" t="n">
        <x:v>201</x:v>
      </x:c>
      <x:c r="B162" s="24" t="n">
        <x:v>54</x:v>
      </x:c>
      <x:c r="C162" s="24" t="str">
        <x:v>C — weryfikacja i nurturing</x:v>
      </x:c>
      <x:c r="D162" s="47" t="str">
        <x:v>Hurtownia Wielobranżowa ROCH Sp. z o.o. Sp.k.</x:v>
      </x:c>
      <x:c r="E162" s="47" t="str">
        <x:v>S4 — Vape/e-papierosy</x:v>
      </x:c>
      <x:c r="F162" s="47" t="str">
        <x:v>Małopolskie</x:v>
      </x:c>
      <x:c r="G162" s="47" t="str"/>
      <x:c r="H162" s="47" t="str"/>
      <x:c r="I162" s="47" t="str">
        <x:v>https://www.baza-firm.com.pl/tyton-i-artykuly-tytoniowe/krakow/hurtownia-wielobranzowa-roch-sp-z-oo-spkomandytowa/pl/210664.html</x:v>
      </x:c>
      <x:c r="J162" s="47" t="str">
        <x:v>email, telefon</x:v>
      </x:c>
      <x:c r="K162" s="47" t="str">
        <x:v>Zweryfikować dane, produkty i status B2B przed kontaktem</x:v>
      </x:c>
      <x:c r="L162" s="47" t="str">
        <x:v>Nowy</x:v>
      </x:c>
      <x:c r="M162" s="47" t="str">
        <x:v>https://www.baza-firm.com.pl/tyton-i-artykuly-tytoniowe/krakow/hurtownia-wielobranzowa-roch-sp-z-oo-spkomandytowa/pl/210664.html</x:v>
      </x:c>
      <x:c r="N162" s="95" t="str">
        <x:v>Dodano z hurtownicy_pl_127.html; Asortyment: Cigarettes, tobacco | Status źródłowy: Aktywny</x:v>
      </x:c>
    </x:row>
    <x:row r="163">
      <x:c r="A163" s="23" t="n">
        <x:v>202</x:v>
      </x:c>
      <x:c r="B163" s="24" t="n">
        <x:v>54</x:v>
      </x:c>
      <x:c r="C163" s="24" t="str">
        <x:v>C — weryfikacja i nurturing</x:v>
      </x:c>
      <x:c r="D163" s="47" t="str">
        <x:v>Hurtownia Papierosów Sklep Przemysłowy</x:v>
      </x:c>
      <x:c r="E163" s="47" t="str">
        <x:v>S4 — Vape/e-papierosy</x:v>
      </x:c>
      <x:c r="F163" s="47" t="str">
        <x:v>Pomorskie</x:v>
      </x:c>
      <x:c r="G163" s="47" t="str"/>
      <x:c r="H163" s="47" t="str"/>
      <x:c r="I163" s="47" t="str">
        <x:v>https://mapa.targeo.pl/hurtownia-papierosow-sklep-przemyslowy-83-200-starogard-gdanski~13569129/przedsiebiorstwo-firma/adres</x:v>
      </x:c>
      <x:c r="J163" s="47" t="str">
        <x:v>email, telefon</x:v>
      </x:c>
      <x:c r="K163" s="47" t="str">
        <x:v>Zweryfikować dane, produkty i status B2B przed kontaktem</x:v>
      </x:c>
      <x:c r="L163" s="47" t="str">
        <x:v>Nowy</x:v>
      </x:c>
      <x:c r="M163" s="47" t="str">
        <x:v>https://mapa.targeo.pl/hurtownia-papierosow-sklep-przemyslowy-83-200-starogard-gdanski~13569129/przedsiebiorstwo-firma/adres</x:v>
      </x:c>
      <x:c r="N163" s="95" t="str">
        <x:v>Dodano z hurtownicy_pl_127.html; Asortyment: Cigarettes, tobacco | Status źródłowy: Aktywny</x:v>
      </x:c>
    </x:row>
    <x:row r="164">
      <x:c r="A164" s="23" t="n">
        <x:v>203</x:v>
      </x:c>
      <x:c r="B164" s="24" t="n">
        <x:v>54</x:v>
      </x:c>
      <x:c r="C164" s="24" t="str">
        <x:v>C — weryfikacja i nurturing</x:v>
      </x:c>
      <x:c r="D164" s="47" t="str">
        <x:v>Golden FHU Anna Bohusz</x:v>
      </x:c>
      <x:c r="E164" s="47" t="str">
        <x:v>S4 — Vape/e-papierosy</x:v>
      </x:c>
      <x:c r="F164" s="47" t="str">
        <x:v>Opolskie</x:v>
      </x:c>
      <x:c r="G164" s="47" t="str"/>
      <x:c r="H164" s="47" t="str"/>
      <x:c r="I164" s="47" t="str">
        <x:v>https://www.hurtownie.pl/hurtownie,.html?q=papierosy\&amp;p=8</x:v>
      </x:c>
      <x:c r="J164" s="47" t="str">
        <x:v>email, telefon</x:v>
      </x:c>
      <x:c r="K164" s="47" t="str">
        <x:v>Zweryfikować dane, produkty i status B2B przed kontaktem</x:v>
      </x:c>
      <x:c r="L164" s="47" t="str">
        <x:v>Nowy</x:v>
      </x:c>
      <x:c r="M164" s="47" t="str">
        <x:v>https://www.hurtownie.pl/hurtownie,.html?q=papierosy\&amp;p=8</x:v>
      </x:c>
      <x:c r="N164" s="95" t="str">
        <x:v>Dodano z hurtownicy_pl_127.html; Asortyment: Tobacco products | Status źródłowy: Aktywny</x:v>
      </x:c>
    </x:row>
    <x:row r="165">
      <x:c r="A165" s="23" t="n">
        <x:v>204</x:v>
      </x:c>
      <x:c r="B165" s="24" t="n">
        <x:v>54</x:v>
      </x:c>
      <x:c r="C165" s="24" t="str">
        <x:v>C — weryfikacja i nurturing</x:v>
      </x:c>
      <x:c r="D165" s="47" t="str">
        <x:v>EDMAR PH Hurtownia Papierosów</x:v>
      </x:c>
      <x:c r="E165" s="47" t="str">
        <x:v>S4 — Vape/e-papierosy</x:v>
      </x:c>
      <x:c r="F165" s="47" t="str">
        <x:v>Opolskie</x:v>
      </x:c>
      <x:c r="G165" s="47" t="str"/>
      <x:c r="H165" s="47" t="str"/>
      <x:c r="I165" s="47" t="str">
        <x:v>https://www.hurtownie.pl/hurtownie,.html?q=papierosy\&amp;p=15</x:v>
      </x:c>
      <x:c r="J165" s="47" t="str">
        <x:v>email, telefon</x:v>
      </x:c>
      <x:c r="K165" s="47" t="str">
        <x:v>Zweryfikować dane, produkty i status B2B przed kontaktem</x:v>
      </x:c>
      <x:c r="L165" s="47" t="str">
        <x:v>Nowy</x:v>
      </x:c>
      <x:c r="M165" s="47" t="str">
        <x:v>https://www.hurtownie.pl/hurtownie,.html?q=papierosy\&amp;p=15</x:v>
      </x:c>
      <x:c r="N165" s="95" t="str">
        <x:v>Dodano z hurtownicy_pl_127.html; Asortyment: Cigarettes, tobacco | Status źródłowy: Aktywny</x:v>
      </x:c>
    </x:row>
    <x:row r="166">
      <x:c r="A166" s="23" t="n">
        <x:v>205</x:v>
      </x:c>
      <x:c r="B166" s="24" t="n">
        <x:v>54</x:v>
      </x:c>
      <x:c r="C166" s="24" t="str">
        <x:v>C — weryfikacja i nurturing</x:v>
      </x:c>
      <x:c r="D166" s="47" t="str">
        <x:v>Dymek Krzysztof Kasperek</x:v>
      </x:c>
      <x:c r="E166" s="47" t="str">
        <x:v>S4 — Vape/e-papierosy</x:v>
      </x:c>
      <x:c r="F166" s="47" t="str">
        <x:v>Lubelskie</x:v>
      </x:c>
      <x:c r="G166" s="47" t="str"/>
      <x:c r="H166" s="47" t="str"/>
      <x:c r="I166" s="47" t="str">
        <x:v>https://panoramafirm.pl/papierosy_i_tyto%C5%84/lubelskie,,lublin</x:v>
      </x:c>
      <x:c r="J166" s="47" t="str">
        <x:v>email, telefon</x:v>
      </x:c>
      <x:c r="K166" s="47" t="str">
        <x:v>Zweryfikować dane, produkty i status B2B przed kontaktem</x:v>
      </x:c>
      <x:c r="L166" s="47" t="str">
        <x:v>Nowy</x:v>
      </x:c>
      <x:c r="M166" s="47" t="str">
        <x:v>https://panoramafirm.pl/papierosy_i_tyto%C5%84/lubelskie,,lublin</x:v>
      </x:c>
      <x:c r="N166" s="95" t="str">
        <x:v>Dodano z hurtownicy_pl_127.html; Asortyment: Tobacco products | Status źródłowy: Aktywny</x:v>
      </x:c>
    </x:row>
    <x:row r="167">
      <x:c r="A167" s="23" t="n">
        <x:v>206</x:v>
      </x:c>
      <x:c r="B167" s="24" t="n">
        <x:v>54</x:v>
      </x:c>
      <x:c r="C167" s="24" t="str">
        <x:v>C — weryfikacja i nurturing</x:v>
      </x:c>
      <x:c r="D167" s="47" t="str">
        <x:v>Aleksander Ostrowski</x:v>
      </x:c>
      <x:c r="E167" s="47" t="str">
        <x:v>S4 — Vape/e-papierosy</x:v>
      </x:c>
      <x:c r="F167" s="47" t="str">
        <x:v>Warmińsko-mazurskie</x:v>
      </x:c>
      <x:c r="G167" s="47" t="str"/>
      <x:c r="H167" s="47" t="str"/>
      <x:c r="I167" s="47" t="str">
        <x:v>https://panoramafirm.pl/papierosy_i_tyto%C5%84/warmi%C5%84sko_mazurskie</x:v>
      </x:c>
      <x:c r="J167" s="47" t="str">
        <x:v>email, telefon</x:v>
      </x:c>
      <x:c r="K167" s="47" t="str">
        <x:v>Zweryfikować dane, produkty i status B2B przed kontaktem</x:v>
      </x:c>
      <x:c r="L167" s="47" t="str">
        <x:v>Nowy</x:v>
      </x:c>
      <x:c r="M167" s="47" t="str">
        <x:v>https://panoramafirm.pl/papierosy_i_tyto%C5%84/warmi%C5%84sko_mazurskie</x:v>
      </x:c>
      <x:c r="N167" s="95" t="str">
        <x:v>Dodano z hurtownicy_pl_127.html; Asortyment: Tobacco products | Status źródłowy: Aktywny</x:v>
      </x:c>
    </x:row>
    <x:row r="168">
      <x:c r="A168" s="23" t="n">
        <x:v>207</x:v>
      </x:c>
      <x:c r="B168" s="24" t="n">
        <x:v>54</x:v>
      </x:c>
      <x:c r="C168" s="24" t="str">
        <x:v>C — weryfikacja i nurturing</x:v>
      </x:c>
      <x:c r="D168" s="47" t="str">
        <x:v>Aga — Hurtownia Papierosów i Art. Chemicznych</x:v>
      </x:c>
      <x:c r="E168" s="47" t="str">
        <x:v>S4 — Vape/e-papierosy</x:v>
      </x:c>
      <x:c r="F168" s="47" t="str">
        <x:v>Podkarpackie</x:v>
      </x:c>
      <x:c r="G168" s="47" t="str"/>
      <x:c r="H168" s="47" t="str"/>
      <x:c r="I168" s="47" t="str">
        <x:v>https://www.cylex-polska.pl/firmy/aga--hurtownia-papieros%C3%B3w-i-art--chemicznych-10405470.html</x:v>
      </x:c>
      <x:c r="J168" s="47" t="str">
        <x:v>email, telefon</x:v>
      </x:c>
      <x:c r="K168" s="47" t="str">
        <x:v>Zweryfikować dane, produkty i status B2B przed kontaktem</x:v>
      </x:c>
      <x:c r="L168" s="47" t="str">
        <x:v>Nowy</x:v>
      </x:c>
      <x:c r="M168" s="47" t="str">
        <x:v>https://www.cylex-polska.pl/firmy/aga--hurtownia-papieros%C3%B3w-i-art--chemicznych-10405470.html</x:v>
      </x:c>
      <x:c r="N168" s="95" t="str">
        <x:v>Dodano z hurtownicy_pl_127.html; Asortyment: Cigarettes, tobacco, chemicals | Status źródłowy: Aktywny</x:v>
      </x:c>
    </x:row>
    <x:row r="169">
      <x:c r="A169" s="23" t="n">
        <x:v>208</x:v>
      </x:c>
      <x:c r="B169" s="24" t="n">
        <x:v>54</x:v>
      </x:c>
      <x:c r="C169" s="24" t="str">
        <x:v>C — weryfikacja i nurturing</x:v>
      </x:c>
      <x:c r="D169" s="47" t="str">
        <x:v>ALFA — Hurtownia Papierosów, Chemii Gospodarczej i Kart Telefonicznych</x:v>
      </x:c>
      <x:c r="E169" s="47" t="str">
        <x:v>S4 — Vape/e-papierosy</x:v>
      </x:c>
      <x:c r="F169" s="47" t="str">
        <x:v>Podlaskie</x:v>
      </x:c>
      <x:c r="G169" s="47" t="str"/>
      <x:c r="H169" s="47" t="str"/>
      <x:c r="I169" s="47" t="str">
        <x:v>https://www.bialystokonline.pl/alfa-hurtownia-papierosow-chemii-gospodarczej-kart-telefonicznych,firma,2688,244,17,0,1.html</x:v>
      </x:c>
      <x:c r="J169" s="47" t="str">
        <x:v>email, telefon</x:v>
      </x:c>
      <x:c r="K169" s="47" t="str">
        <x:v>Zweryfikować dane, produkty i status B2B przed kontaktem</x:v>
      </x:c>
      <x:c r="L169" s="47" t="str">
        <x:v>Nowy</x:v>
      </x:c>
      <x:c r="M169" s="47" t="str">
        <x:v>https://www.bialystokonline.pl/alfa-hurtownia-papierosow-chemii-gospodarczej-kart-telefonicznych,firma,2688,244,17,0,1.html</x:v>
      </x:c>
      <x:c r="N169" s="95" t="str">
        <x:v>Dodano z hurtownicy_pl_127.html; Asortyment: Cigarettes, tobacco, household chemicals, phone cards | Status źródłowy: Aktywny</x:v>
      </x:c>
    </x:row>
    <x:row r="170">
      <x:c r="A170" s="23" t="n">
        <x:v>209</x:v>
      </x:c>
      <x:c r="B170" s="24" t="n">
        <x:v>54</x:v>
      </x:c>
      <x:c r="C170" s="24" t="str">
        <x:v>C — weryfikacja i nurturing</x:v>
      </x:c>
      <x:c r="D170" s="47" t="str">
        <x:v>ALF2 — Hurtownia Papierosów i Chemii Gospodarczej</x:v>
      </x:c>
      <x:c r="E170" s="47" t="str">
        <x:v>S4 — Vape/e-papierosy</x:v>
      </x:c>
      <x:c r="F170" s="47" t="str">
        <x:v>Małopolskie</x:v>
      </x:c>
      <x:c r="G170" s="47" t="str"/>
      <x:c r="H170" s="47" t="str"/>
      <x:c r="I170" s="47" t="str">
        <x:v>https://alf2spj.wixsite.com/alf2</x:v>
      </x:c>
      <x:c r="J170" s="47" t="str">
        <x:v>email, telefon</x:v>
      </x:c>
      <x:c r="K170" s="47" t="str">
        <x:v>Zweryfikować dane, produkty i status B2B przed kontaktem</x:v>
      </x:c>
      <x:c r="L170" s="47" t="str">
        <x:v>Nowy</x:v>
      </x:c>
      <x:c r="M170" s="47" t="str">
        <x:v>https://alf2spj.wixsite.com/alf2</x:v>
      </x:c>
      <x:c r="N170" s="95" t="str">
        <x:v>Dodano z hurtownicy_pl_127.html; Asortyment: Cigarettes, tobacco, tubes, accessories, household chemicals | Status źródłowy: Aktywny</x:v>
      </x:c>
    </x:row>
    <x:row r="171">
      <x:c r="A171" s="23" t="n">
        <x:v>210</x:v>
      </x:c>
      <x:c r="B171" s="24" t="n">
        <x:v>54</x:v>
      </x:c>
      <x:c r="C171" s="24" t="str">
        <x:v>C — weryfikacja i nurturing</x:v>
      </x:c>
      <x:c r="D171" s="47" t="str">
        <x:v>"Lorbad" Sp. z o.o.</x:v>
      </x:c>
      <x:c r="E171" s="47" t="str">
        <x:v>S4 — Vape/e-papierosy</x:v>
      </x:c>
      <x:c r="F171" s="47" t="str">
        <x:v>Śląskie</x:v>
      </x:c>
      <x:c r="G171" s="47" t="str"/>
      <x:c r="H171" s="47" t="str"/>
      <x:c r="I171" s="47" t="str">
        <x:v>https://panoramafirm.pl/hurtownia_papieros%C3%B3w/%C5%9Bl%C4%85skie</x:v>
      </x:c>
      <x:c r="J171" s="47" t="str">
        <x:v>email, telefon</x:v>
      </x:c>
      <x:c r="K171" s="47" t="str">
        <x:v>Zweryfikować dane, produkty i status B2B przed kontaktem</x:v>
      </x:c>
      <x:c r="L171" s="47" t="str">
        <x:v>Nowy</x:v>
      </x:c>
      <x:c r="M171" s="47" t="str">
        <x:v>https://panoramafirm.pl/hurtownia_papieros%C3%B3w/%C5%9Bl%C4%85skie</x:v>
      </x:c>
      <x:c r="N171" s="95" t="str">
        <x:v>Dodano z hurtownicy_pl_127.html; Asortyment: Tobacco products | Status źródłowy: Aktywny</x:v>
      </x:c>
    </x:row>
    <x:row r="172">
      <x:c r="A172" s="23" t="n">
        <x:v>211</x:v>
      </x:c>
      <x:c r="B172" s="24" t="n">
        <x:v>54</x:v>
      </x:c>
      <x:c r="C172" s="24" t="str">
        <x:v>C — weryfikacja i nurturing</x:v>
      </x:c>
      <x:c r="D172" s="47" t="str">
        <x:v>"Kamel" Sp.j. Hurtownia Papierosów</x:v>
      </x:c>
      <x:c r="E172" s="47" t="str">
        <x:v>S4 — Vape/e-papierosy</x:v>
      </x:c>
      <x:c r="F172" s="47" t="str">
        <x:v>Opolskie</x:v>
      </x:c>
      <x:c r="G172" s="47" t="str"/>
      <x:c r="H172" s="47" t="str"/>
      <x:c r="I172" s="47" t="str">
        <x:v>https://panoramafirm.pl/wielkopolskie,,konin,wio%C5%9Blarska,16/kamel_sp.j._hurtownia_papierosow-ssfip_sin.html</x:v>
      </x:c>
      <x:c r="J172" s="47" t="str">
        <x:v>email, telefon</x:v>
      </x:c>
      <x:c r="K172" s="47" t="str">
        <x:v>Zweryfikować dane, produkty i status B2B przed kontaktem</x:v>
      </x:c>
      <x:c r="L172" s="47" t="str">
        <x:v>Nowy</x:v>
      </x:c>
      <x:c r="M172" s="47" t="str">
        <x:v>https://panoramafirm.pl/wielkopolskie,,konin,wio%C5%9Blarska,16/kamel_sp.j._hurtownia_papierosow-ssfip_sin.html</x:v>
      </x:c>
      <x:c r="N172" s="95" t="str">
        <x:v>Dodano z hurtownicy_pl_127.html; Asortyment: Cigarettes, tobacco | Status źródłowy: Aktywny</x:v>
      </x:c>
    </x:row>
    <x:row r="173">
      <x:c r="A173" s="23" t="n">
        <x:v>212</x:v>
      </x:c>
      <x:c r="B173" s="24" t="n">
        <x:v>53</x:v>
      </x:c>
      <x:c r="C173" s="24" t="str">
        <x:v>C — weryfikacja i nurturing</x:v>
      </x:c>
      <x:c r="D173" s="47" t="str">
        <x:v>Minos. Hurtownia papierosów, wyrobów tytoniowych, chemii gospodarczej</x:v>
      </x:c>
      <x:c r="E173" s="47" t="str">
        <x:v>S4 — Vape/e-papierosy</x:v>
      </x:c>
      <x:c r="F173" s="47" t="str">
        <x:v>Mazowieckie</x:v>
      </x:c>
      <x:c r="G173" s="47" t="str"/>
      <x:c r="H173" s="47" t="str"/>
      <x:c r="I173" s="47" t="str">
        <x:v>https://www.misterwhat.pl/company/196155-minos-sp-z-oo-hurtownia-papierosow-wyrobow-tytoniowych-chemii-gospodarczej-radom</x:v>
      </x:c>
      <x:c r="J173" s="47" t="str">
        <x:v>email, telefon</x:v>
      </x:c>
      <x:c r="K173" s="47" t="str">
        <x:v>Zweryfikować dane, produkty i status B2B przed kontaktem</x:v>
      </x:c>
      <x:c r="L173" s="47" t="str">
        <x:v>Nowy</x:v>
      </x:c>
      <x:c r="M173" s="47" t="str">
        <x:v>https://www.misterwhat.pl/company/196155-minos-sp-z-oo-hurtownia-papierosow-wyrobow-tytoniowych-chemii-gospodarczej-radom</x:v>
      </x:c>
      <x:c r="N173" s="95" t="str">
        <x:v>Dodano z Hurtownicy-Wszystkie-Dane-Zebrane_matrix_v10.html | Status źródłowy: Niezweryfikowany</x:v>
      </x:c>
    </x:row>
    <x:row r="174">
      <x:c r="A174" s="23" t="n">
        <x:v>213</x:v>
      </x:c>
      <x:c r="B174" s="24" t="n">
        <x:v>51</x:v>
      </x:c>
      <x:c r="C174" s="24" t="str">
        <x:v>C — weryfikacja i nurturing</x:v>
      </x:c>
      <x:c r="D174" s="47" t="str">
        <x:v>Sklep Tytoniowy Dobry Tytoń</x:v>
      </x:c>
      <x:c r="E174" s="47" t="str">
        <x:v>S4 — Vape/e-papierosy</x:v>
      </x:c>
      <x:c r="F174" s="47" t="str">
        <x:v>Mazowieckie</x:v>
      </x:c>
      <x:c r="G174" s="47" t="str"/>
      <x:c r="H174" s="47" t="str">
        <x:v>535 062 684</x:v>
      </x:c>
      <x:c r="I174" s="47" t="str"/>
      <x:c r="J174" s="47" t="str">
        <x:v>email, WWW</x:v>
      </x:c>
      <x:c r="K174" s="47" t="str">
        <x:v>Zweryfikować dane, produkty i status B2B przed kontaktem</x:v>
      </x:c>
      <x:c r="L174" s="47" t="str">
        <x:v>Nowy</x:v>
      </x:c>
      <x:c r="M174" s="47" t="str"/>
      <x:c r="N174" s="95" t="str">
        <x:v>Dodano z final_turn_001.md; Potencjał: Niski | Status źródłowy: Niezweryfikowany</x:v>
      </x:c>
    </x:row>
    <x:row r="175">
      <x:c r="A175" s="23" t="n">
        <x:v>214</x:v>
      </x:c>
      <x:c r="B175" s="24" t="n">
        <x:v>51</x:v>
      </x:c>
      <x:c r="C175" s="24" t="str">
        <x:v>C — weryfikacja i nurturing</x:v>
      </x:c>
      <x:c r="D175" s="47" t="str">
        <x:v>Vapetech Poland</x:v>
      </x:c>
      <x:c r="E175" s="47" t="str">
        <x:v>S4 — Vape/e-papierosy</x:v>
      </x:c>
      <x:c r="F175" s="47" t="str">
        <x:v>Nieustalony</x:v>
      </x:c>
      <x:c r="G175" s="47" t="str"/>
      <x:c r="H175" s="47" t="str"/>
      <x:c r="I175" s="47" t="str">
        <x:v>https://vapetechpoland.pl</x:v>
      </x:c>
      <x:c r="J175" s="47" t="str">
        <x:v>email, telefon</x:v>
      </x:c>
      <x:c r="K175" s="47" t="str">
        <x:v>Zweryfikować dane, produkty i status B2B przed kontaktem</x:v>
      </x:c>
      <x:c r="L175" s="47" t="str">
        <x:v>Nowy</x:v>
      </x:c>
      <x:c r="M175" s="47" t="str">
        <x:v>https://vapetechpoland.pl</x:v>
      </x:c>
      <x:c r="N175" s="95" t="str"/>
    </x:row>
    <x:row r="176">
      <x:c r="A176" s="23" t="n">
        <x:v>215</x:v>
      </x:c>
      <x:c r="B176" s="24" t="n">
        <x:v>51</x:v>
      </x:c>
      <x:c r="C176" s="24" t="str">
        <x:v>C — weryfikacja i nurturing</x:v>
      </x:c>
      <x:c r="D176" s="47" t="str">
        <x:v>E-LIQ Distribution</x:v>
      </x:c>
      <x:c r="E176" s="47" t="str">
        <x:v>S4 — Vape/e-papierosy</x:v>
      </x:c>
      <x:c r="F176" s="47" t="str">
        <x:v>Nieustalony</x:v>
      </x:c>
      <x:c r="G176" s="47" t="str"/>
      <x:c r="H176" s="47" t="str"/>
      <x:c r="I176" s="47" t="str">
        <x:v>https://b2b-eliq.pl</x:v>
      </x:c>
      <x:c r="J176" s="47" t="str">
        <x:v>email, telefon</x:v>
      </x:c>
      <x:c r="K176" s="47" t="str">
        <x:v>Zweryfikować dane, produkty i status B2B przed kontaktem</x:v>
      </x:c>
      <x:c r="L176" s="47" t="str">
        <x:v>Nowy</x:v>
      </x:c>
      <x:c r="M176" s="47" t="str">
        <x:v>https://b2b-eliq.pl</x:v>
      </x:c>
      <x:c r="N176" s="95" t="str">
        <x:v>€946 tys. rocznego przychodu</x:v>
      </x:c>
    </x:row>
    <x:row r="177">
      <x:c r="A177" s="23" t="n">
        <x:v>216</x:v>
      </x:c>
      <x:c r="B177" s="24" t="n">
        <x:v>51</x:v>
      </x:c>
      <x:c r="C177" s="24" t="str">
        <x:v>C — weryfikacja i nurturing</x:v>
      </x:c>
      <x:c r="D177" s="47" t="str">
        <x:v>Vape Drop</x:v>
      </x:c>
      <x:c r="E177" s="47" t="str">
        <x:v>S4 — Vape/e-papierosy</x:v>
      </x:c>
      <x:c r="F177" s="47" t="str">
        <x:v>Nieustalony</x:v>
      </x:c>
      <x:c r="G177" s="47" t="str"/>
      <x:c r="H177" s="47" t="str"/>
      <x:c r="I177" s="47" t="str"/>
      <x:c r="J177" s="47" t="str">
        <x:v>email, telefon, WWW</x:v>
      </x:c>
      <x:c r="K177" s="47" t="str">
        <x:v>Zweryfikować dane, produkty i status B2B przed kontaktem</x:v>
      </x:c>
      <x:c r="L177" s="47" t="str">
        <x:v>Nowy</x:v>
      </x:c>
      <x:c r="M177" s="47" t="str"/>
      <x:c r="N177" s="95" t="str">
        <x:v>103 mln zł rocznego przychodu, ogólnopolska</x:v>
      </x:c>
    </x:row>
    <x:row r="178">
      <x:c r="A178" s="23" t="n">
        <x:v>236</x:v>
      </x:c>
      <x:c r="B178" s="24" t="n">
        <x:v>50</x:v>
      </x:c>
      <x:c r="C178" s="24" t="str">
        <x:v>C — weryfikacja i nurturing</x:v>
      </x:c>
      <x:c r="D178" s="47" t="str">
        <x:v>PHU Mars</x:v>
      </x:c>
      <x:c r="E178" s="47" t="str">
        <x:v>S4 — Vape/e-papierosy</x:v>
      </x:c>
      <x:c r="F178" s="47" t="str">
        <x:v>Dolnośląskie</x:v>
      </x:c>
      <x:c r="G178" s="47" t="str"/>
      <x:c r="H178" s="47" t="str"/>
      <x:c r="I178" s="47" t="str">
        <x:v>https://mars.lubin.pl</x:v>
      </x:c>
      <x:c r="J178" s="47" t="str">
        <x:v>email, telefon</x:v>
      </x:c>
      <x:c r="K178" s="47" t="str">
        <x:v>Zweryfikować dane, produkty i status B2B przed kontaktem</x:v>
      </x:c>
      <x:c r="L178" s="47" t="str">
        <x:v>Nowy</x:v>
      </x:c>
      <x:c r="M178" s="47" t="str">
        <x:v>https://mars.lubin.pl</x:v>
      </x:c>
      <x:c r="N178" s="95" t="str">
        <x:v>Nie potwierdzone</x:v>
      </x:c>
    </x:row>
    <x:row r="179">
      <x:c r="A179" s="23" t="n">
        <x:v>237</x:v>
      </x:c>
      <x:c r="B179" s="24" t="n">
        <x:v>50</x:v>
      </x:c>
      <x:c r="C179" s="24" t="str">
        <x:v>C — weryfikacja i nurturing</x:v>
      </x:c>
      <x:c r="D179" s="47" t="str">
        <x:v>EDDcom</x:v>
      </x:c>
      <x:c r="E179" s="47" t="str">
        <x:v>S6 — Retail/e-commerce</x:v>
      </x:c>
      <x:c r="F179" s="47" t="str">
        <x:v>Nieustalony</x:v>
      </x:c>
      <x:c r="G179" s="47" t="str"/>
      <x:c r="H179" s="47" t="str"/>
      <x:c r="I179" s="47" t="str">
        <x:v>https://eddcom.pl</x:v>
      </x:c>
      <x:c r="J179" s="47" t="str">
        <x:v>email, telefon</x:v>
      </x:c>
      <x:c r="K179" s="47" t="str">
        <x:v>Zweryfikować dane, produkty i status B2B przed kontaktem</x:v>
      </x:c>
      <x:c r="L179" s="47" t="str">
        <x:v>Nowy</x:v>
      </x:c>
      <x:c r="M179" s="47" t="str">
        <x:v>https://eddcom.pl</x:v>
      </x:c>
      <x:c r="N179" s="95" t="str">
        <x:v>Status źródłowy: Aktywny</x:v>
      </x:c>
    </x:row>
    <x:row r="180">
      <x:c r="A180" s="23" t="n">
        <x:v>238</x:v>
      </x:c>
      <x:c r="B180" s="24" t="n">
        <x:v>49</x:v>
      </x:c>
      <x:c r="C180" s="24" t="str">
        <x:v>C — weryfikacja i nurturing</x:v>
      </x:c>
      <x:c r="D180" s="47" t="str">
        <x:v>eSmoking World / CHIC Sp. z o.o. Sp.k.</x:v>
      </x:c>
      <x:c r="E180" s="47" t="str">
        <x:v>S4 — Vape/e-papierosy</x:v>
      </x:c>
      <x:c r="F180" s="47" t="str">
        <x:v>Opolskie</x:v>
      </x:c>
      <x:c r="G180" s="47" t="str"/>
      <x:c r="H180" s="47" t="str">
        <x:v>+48 62 738 88 88</x:v>
      </x:c>
      <x:c r="I180" s="47" t="str">
        <x:v>https://www.esmokingworld.com/pl</x:v>
      </x:c>
      <x:c r="J180" s="47" t="str">
        <x:v>email</x:v>
      </x:c>
      <x:c r="K180" s="47" t="str">
        <x:v>Zweryfikować dane, produkty i status B2B przed kontaktem</x:v>
      </x:c>
      <x:c r="L180" s="47" t="str">
        <x:v>Nowy</x:v>
      </x:c>
      <x:c r="M180" s="47" t="str">
        <x:v>https://www.esmokingworld.com/pl</x:v>
      </x:c>
      <x:c r="N180" s="95" t="str">
        <x:v>400 punktów w 200 miastach, fabryka i centrum R&amp;D w Ostrzeszowie</x:v>
      </x:c>
    </x:row>
    <x:row r="181">
      <x:c r="A181" s="23" t="n">
        <x:v>239</x:v>
      </x:c>
      <x:c r="B181" s="24" t="n">
        <x:v>48</x:v>
      </x:c>
      <x:c r="C181" s="24" t="str">
        <x:v>C — weryfikacja i nurturing</x:v>
      </x:c>
      <x:c r="D181" s="47" t="str">
        <x:v>JUKA</x:v>
      </x:c>
      <x:c r="E181" s="47" t="str">
        <x:v>S4 — Vape/e-papierosy</x:v>
      </x:c>
      <x:c r="F181" s="47" t="str">
        <x:v>Nieustalony</x:v>
      </x:c>
      <x:c r="G181" s="47" t="str"/>
      <x:c r="H181" s="47" t="str"/>
      <x:c r="I181" s="47" t="str"/>
      <x:c r="J181" s="47" t="str">
        <x:v>email, telefon, WWW</x:v>
      </x:c>
      <x:c r="K181" s="47" t="str">
        <x:v>Zweryfikować dane, produkty i status B2B przed kontaktem</x:v>
      </x:c>
      <x:c r="L181" s="47" t="str">
        <x:v>Nowy</x:v>
      </x:c>
      <x:c r="M181" s="47" t="str"/>
      <x:c r="N181" s="95" t="str">
        <x:v>Z listy BISTA i top 10 vape hurtowni PL</x:v>
      </x:c>
    </x:row>
    <x:row r="182">
      <x:c r="A182" s="23" t="n">
        <x:v>240</x:v>
      </x:c>
      <x:c r="B182" s="24" t="n">
        <x:v>48</x:v>
      </x:c>
      <x:c r="C182" s="24" t="str">
        <x:v>C — weryfikacja i nurturing</x:v>
      </x:c>
      <x:c r="D182" s="47" t="str">
        <x:v>Arlgroup</x:v>
      </x:c>
      <x:c r="E182" s="47" t="str">
        <x:v>S4 — Vape/e-papierosy</x:v>
      </x:c>
      <x:c r="F182" s="47" t="str">
        <x:v>Nieustalony</x:v>
      </x:c>
      <x:c r="G182" s="47" t="str"/>
      <x:c r="H182" s="47" t="str"/>
      <x:c r="I182" s="47" t="str"/>
      <x:c r="J182" s="47" t="str">
        <x:v>email, telefon, WWW</x:v>
      </x:c>
      <x:c r="K182" s="47" t="str">
        <x:v>Zweryfikować dane, produkty i status B2B przed kontaktem</x:v>
      </x:c>
      <x:c r="L182" s="47" t="str">
        <x:v>Nowy</x:v>
      </x:c>
      <x:c r="M182" s="47" t="str"/>
      <x:c r="N182" s="95" t="str">
        <x:v>Z listy top 10 vape hurtowni PL</x:v>
      </x:c>
    </x:row>
    <x:row r="183">
      <x:c r="A183" s="23" t="n">
        <x:v>241</x:v>
      </x:c>
      <x:c r="B183" s="24" t="n">
        <x:v>48</x:v>
      </x:c>
      <x:c r="C183" s="24" t="str">
        <x:v>C — weryfikacja i nurturing</x:v>
      </x:c>
      <x:c r="D183" s="47" t="str">
        <x:v>ATG</x:v>
      </x:c>
      <x:c r="E183" s="47" t="str">
        <x:v>S4 — Vape/e-papierosy</x:v>
      </x:c>
      <x:c r="F183" s="47" t="str">
        <x:v>Nieustalony</x:v>
      </x:c>
      <x:c r="G183" s="47" t="str"/>
      <x:c r="H183" s="47" t="str"/>
      <x:c r="I183" s="47" t="str"/>
      <x:c r="J183" s="47" t="str">
        <x:v>email, telefon, WWW</x:v>
      </x:c>
      <x:c r="K183" s="47" t="str">
        <x:v>Zweryfikować dane, produkty i status B2B przed kontaktem</x:v>
      </x:c>
      <x:c r="L183" s="47" t="str">
        <x:v>Nowy</x:v>
      </x:c>
      <x:c r="M183" s="47" t="str"/>
      <x:c r="N183" s="95" t="str">
        <x:v>Z listy top 10 vape hurtowni PL</x:v>
      </x:c>
    </x:row>
    <x:row r="184">
      <x:c r="A184" s="23" t="n">
        <x:v>242</x:v>
      </x:c>
      <x:c r="B184" s="24" t="n">
        <x:v>46</x:v>
      </x:c>
      <x:c r="C184" s="24" t="str">
        <x:v>C — weryfikacja i nurturing</x:v>
      </x:c>
      <x:c r="D184" s="47" t="str">
        <x:v>Tobacco Corner / ELITE Edyta Stefanek</x:v>
      </x:c>
      <x:c r="E184" s="47" t="str">
        <x:v>S6 — Retail/e-commerce</x:v>
      </x:c>
      <x:c r="F184" s="47" t="str">
        <x:v>Śląskie</x:v>
      </x:c>
      <x:c r="G184" s="47" t="str"/>
      <x:c r="H184" s="47" t="str">
        <x:v>+48 600 432 108</x:v>
      </x:c>
      <x:c r="I184" s="47" t="str">
        <x:v>https://www.tobaccocorner.pl</x:v>
      </x:c>
      <x:c r="J184" s="47" t="str">
        <x:v>email</x:v>
      </x:c>
      <x:c r="K184" s="47" t="str">
        <x:v>Zweryfikować dane, produkty i status B2B przed kontaktem</x:v>
      </x:c>
      <x:c r="L184" s="47" t="str">
        <x:v>Nowy</x:v>
      </x:c>
      <x:c r="M184" s="47" t="str">
        <x:v>https://www.tobaccocorner.pl</x:v>
      </x:c>
      <x:c r="N184" s="95" t="str"/>
    </x:row>
    <x:row r="185">
      <x:c r="A185" s="23" t="n">
        <x:v>243</x:v>
      </x:c>
      <x:c r="B185" s="24" t="n">
        <x:v>46</x:v>
      </x:c>
      <x:c r="C185" s="24" t="str">
        <x:v>C — weryfikacja i nurturing</x:v>
      </x:c>
      <x:c r="D185" s="47" t="str">
        <x:v>Bliq Sp. z o.o.</x:v>
      </x:c>
      <x:c r="E185" s="47" t="str">
        <x:v>S4 — Vape/e-papierosy</x:v>
      </x:c>
      <x:c r="F185" s="47" t="str">
        <x:v>Mazowieckie</x:v>
      </x:c>
      <x:c r="G185" s="47" t="str"/>
      <x:c r="H185" s="47" t="str">
        <x:v>882 00 89 89</x:v>
      </x:c>
      <x:c r="I185" s="47" t="str"/>
      <x:c r="J185" s="47" t="str">
        <x:v>email, WWW</x:v>
      </x:c>
      <x:c r="K185" s="47" t="str">
        <x:v>Zweryfikować dane, produkty i status B2B przed kontaktem</x:v>
      </x:c>
      <x:c r="L185" s="47" t="str">
        <x:v>Nowy</x:v>
      </x:c>
      <x:c r="M185" s="47" t="str"/>
      <x:c r="N185" s="95" t="str"/>
    </x:row>
    <x:row r="186">
      <x:c r="A186" s="23" t="n">
        <x:v>244</x:v>
      </x:c>
      <x:c r="B186" s="24" t="n">
        <x:v>46</x:v>
      </x:c>
      <x:c r="C186" s="24" t="str">
        <x:v>C — weryfikacja i nurturing</x:v>
      </x:c>
      <x:c r="D186" s="47" t="str">
        <x:v>Dom Cygar / Cigar House Stores</x:v>
      </x:c>
      <x:c r="E186" s="47" t="str">
        <x:v>S5 — Cygara i trafiki premium</x:v>
      </x:c>
      <x:c r="F186" s="47" t="str">
        <x:v>Mazowieckie</x:v>
      </x:c>
      <x:c r="G186" s="47" t="str"/>
      <x:c r="H186" s="47" t="str"/>
      <x:c r="I186" s="47" t="str">
        <x:v>https://www.cigarhousestores.com</x:v>
      </x:c>
      <x:c r="J186" s="47" t="str">
        <x:v>email, telefon</x:v>
      </x:c>
      <x:c r="K186" s="47" t="str">
        <x:v>Zweryfikować dane, produkty i status B2B przed kontaktem</x:v>
      </x:c>
      <x:c r="L186" s="47" t="str">
        <x:v>Nowy</x:v>
      </x:c>
      <x:c r="M186" s="47" t="str">
        <x:v>https://www.cigarhousestores.com/o-nas | https://www.cigarhousestores.com/kontakt | https://www.cigarhousestores.com/lokalizacje | https://www.cigarhousestores.com</x:v>
      </x:c>
      <x:c r="N186" s="95" t="str">
        <x:v>Nie używać danych NIP/KRS z witryny bez potwierdzenia w rejestrze; wyglądają na placeholdery. | Status źródłowy: Do weryfikacji — katalog</x:v>
      </x:c>
    </x:row>
    <x:row r="187">
      <x:c r="A187" s="23" t="n">
        <x:v>245</x:v>
      </x:c>
      <x:c r="B187" s="24" t="n">
        <x:v>45</x:v>
      </x:c>
      <x:c r="C187" s="24" t="str">
        <x:v>C — weryfikacja i nurturing</x:v>
      </x:c>
      <x:c r="D187" s="47" t="str">
        <x:v>FHPD</x:v>
      </x:c>
      <x:c r="E187" s="47" t="str">
        <x:v>S7 — Pozostałe/niezweryfikowane</x:v>
      </x:c>
      <x:c r="F187" s="47" t="str">
        <x:v>Dolnośląskie</x:v>
      </x:c>
      <x:c r="G187" s="47" t="str"/>
      <x:c r="H187" s="47" t="str">
        <x:v>534 922 566</x:v>
      </x:c>
      <x:c r="I187" s="47" t="str">
        <x:v>https://fhpd.pl</x:v>
      </x:c>
      <x:c r="J187" s="47" t="str">
        <x:v>email</x:v>
      </x:c>
      <x:c r="K187" s="47" t="str">
        <x:v>Zweryfikować dane, produkty i status B2B przed kontaktem</x:v>
      </x:c>
      <x:c r="L187" s="47" t="str">
        <x:v>Nowy</x:v>
      </x:c>
      <x:c r="M187" s="47" t="str">
        <x:v>https://fhpd.pl</x:v>
      </x:c>
      <x:c r="N187" s="95" t="str">
        <x:v>Status źródłowy: Inny</x:v>
      </x:c>
    </x:row>
    <x:row r="188">
      <x:c r="A188" s="23" t="n">
        <x:v>246</x:v>
      </x:c>
      <x:c r="B188" s="24" t="n">
        <x:v>44</x:v>
      </x:c>
      <x:c r="C188" s="24" t="str">
        <x:v>C — weryfikacja i nurturing</x:v>
      </x:c>
      <x:c r="D188" s="47" t="str">
        <x:v>Vapeempire</x:v>
      </x:c>
      <x:c r="E188" s="47" t="str">
        <x:v>S1 — RYO/MYO, gilzy i nabijarki</x:v>
      </x:c>
      <x:c r="F188" s="47" t="str">
        <x:v>Nieustalony</x:v>
      </x:c>
      <x:c r="G188" s="47" t="str"/>
      <x:c r="H188" s="47" t="str">
        <x:v>172346997</x:v>
      </x:c>
      <x:c r="I188" s="47" t="str">
        <x:v>https://www.vapeempire.pl</x:v>
      </x:c>
      <x:c r="J188" s="47" t="str">
        <x:v>email</x:v>
      </x:c>
      <x:c r="K188" s="47" t="str">
        <x:v>Zweryfikować dane, produkty i status B2B przed kontaktem</x:v>
      </x:c>
      <x:c r="L188" s="47" t="str">
        <x:v>Nowy</x:v>
      </x:c>
      <x:c r="M188" s="47" t="str">
        <x:v>https://www.vapeempire.pl</x:v>
      </x:c>
      <x:c r="N188" s="95" t="str">
        <x:v>Dodane na prośbę użytkownika z wyników wyszukiwania (e-papierosy / nabijarki). | Status źródłowy: Aktywny</x:v>
      </x:c>
    </x:row>
    <x:row r="189">
      <x:c r="A189" s="23" t="n">
        <x:v>247</x:v>
      </x:c>
      <x:c r="B189" s="24" t="n">
        <x:v>44</x:v>
      </x:c>
      <x:c r="C189" s="24" t="str">
        <x:v>C — weryfikacja i nurturing</x:v>
      </x:c>
      <x:c r="D189" s="47" t="str">
        <x:v>Smoks</x:v>
      </x:c>
      <x:c r="E189" s="47" t="str">
        <x:v>S1 — RYO/MYO, gilzy i nabijarki</x:v>
      </x:c>
      <x:c r="F189" s="47" t="str">
        <x:v>Nieustalony</x:v>
      </x:c>
      <x:c r="G189" s="47" t="str"/>
      <x:c r="H189" s="47" t="str">
        <x:v>867778659</x:v>
      </x:c>
      <x:c r="I189" s="47" t="str">
        <x:v>https://www.smoks.pl</x:v>
      </x:c>
      <x:c r="J189" s="47" t="str">
        <x:v>email</x:v>
      </x:c>
      <x:c r="K189" s="47" t="str">
        <x:v>Zweryfikować dane, produkty i status B2B przed kontaktem</x:v>
      </x:c>
      <x:c r="L189" s="47" t="str">
        <x:v>Nowy</x:v>
      </x:c>
      <x:c r="M189" s="47" t="str">
        <x:v>https://www.smoks.pl</x:v>
      </x:c>
      <x:c r="N189" s="95" t="str">
        <x:v>Dodane z wyników wyszukiwania dla niszowych słów (Powermatic, Shisha, bletki). | Status źródłowy: Aktywny</x:v>
      </x:c>
    </x:row>
    <x:row r="190">
      <x:c r="A190" s="23" t="n">
        <x:v>250</x:v>
      </x:c>
      <x:c r="B190" s="24" t="n">
        <x:v>43</x:v>
      </x:c>
      <x:c r="C190" s="24" t="str">
        <x:v>C — weryfikacja i nurturing</x:v>
      </x:c>
      <x:c r="D190" s="47" t="str">
        <x:v>Doctor Vape</x:v>
      </x:c>
      <x:c r="E190" s="47" t="str">
        <x:v>S4 — Vape/e-papierosy</x:v>
      </x:c>
      <x:c r="F190" s="47" t="str">
        <x:v>Nieustalony</x:v>
      </x:c>
      <x:c r="G190" s="47" t="str"/>
      <x:c r="H190" s="47" t="str"/>
      <x:c r="I190" s="47" t="str">
        <x:v>https://b2b-doctorvape.pl</x:v>
      </x:c>
      <x:c r="J190" s="47" t="str">
        <x:v>email, telefon</x:v>
      </x:c>
      <x:c r="K190" s="47" t="str">
        <x:v>Zweryfikować dane, produkty i status B2B przed kontaktem</x:v>
      </x:c>
      <x:c r="L190" s="47" t="str">
        <x:v>Nowy</x:v>
      </x:c>
      <x:c r="M190" s="47" t="str">
        <x:v>https://b2b-doctorvape.pl</x:v>
      </x:c>
      <x:c r="N190" s="95" t="str">
        <x:v>Dostawy z Francji do PL i UE</x:v>
      </x:c>
    </x:row>
    <x:row r="191">
      <x:c r="A191" s="23" t="n">
        <x:v>252</x:v>
      </x:c>
      <x:c r="B191" s="24" t="n">
        <x:v>40</x:v>
      </x:c>
      <x:c r="C191" s="24" t="str">
        <x:v>D — niski priorytet/wykluczyć</x:v>
      </x:c>
      <x:c r="D191" s="47" t="str">
        <x:v>eCygaretka</x:v>
      </x:c>
      <x:c r="E191" s="47" t="str">
        <x:v>S6 — Retail/e-commerce</x:v>
      </x:c>
      <x:c r="F191" s="47" t="str">
        <x:v>Mazowieckie</x:v>
      </x:c>
      <x:c r="G191" s="47" t="str"/>
      <x:c r="H191" s="47" t="str"/>
      <x:c r="I191" s="47" t="str">
        <x:v>https://www.ecygaretka.pl/witamy-w-sklepie-pm-21.html</x:v>
      </x:c>
      <x:c r="J191" s="47" t="str">
        <x:v>email, telefon</x:v>
      </x:c>
      <x:c r="K191" s="47" t="str">
        <x:v>Archiwum lub weryfikacja przy okazji</x:v>
      </x:c>
      <x:c r="L191" s="47" t="str">
        <x:v>Do weryfikacji</x:v>
      </x:c>
      <x:c r="M191" s="47" t="str">
        <x:v>https://www.ecygaretka.pl/witamy-w-sklepie-pm-21.html</x:v>
      </x:c>
      <x:c r="N191" s="95" t="str"/>
    </x:row>
    <x:row r="192">
      <x:c r="A192" s="23" t="n">
        <x:v>253</x:v>
      </x:c>
      <x:c r="B192" s="24" t="n">
        <x:v>40</x:v>
      </x:c>
      <x:c r="C192" s="24" t="str">
        <x:v>D — niski priorytet/wykluczyć</x:v>
      </x:c>
      <x:c r="D192" s="47" t="str">
        <x:v>Takatabaka</x:v>
      </x:c>
      <x:c r="E192" s="47" t="str">
        <x:v>S1 — RYO/MYO, gilzy i nabijarki</x:v>
      </x:c>
      <x:c r="F192" s="47" t="str">
        <x:v>Nieustalony</x:v>
      </x:c>
      <x:c r="G192" s="47" t="str"/>
      <x:c r="H192" s="47" t="str"/>
      <x:c r="I192" s="47" t="str">
        <x:v>https://www.takatabaka.pl</x:v>
      </x:c>
      <x:c r="J192" s="47" t="str">
        <x:v>email, telefon</x:v>
      </x:c>
      <x:c r="K192" s="47" t="str">
        <x:v>Archiwum lub weryfikacja przy okazji</x:v>
      </x:c>
      <x:c r="L192" s="47" t="str">
        <x:v>Do weryfikacji</x:v>
      </x:c>
      <x:c r="M192" s="47" t="str">
        <x:v>https://www.takatabaka.pl</x:v>
      </x:c>
      <x:c r="N192" s="95" t="str">
        <x:v>Dodane na prośbę użytkownika z wyników wyszukiwania (e-papierosy / nabijarki). | Status źródłowy: Aktywny</x:v>
      </x:c>
    </x:row>
    <x:row r="193">
      <x:c r="A193" s="23" t="n">
        <x:v>254</x:v>
      </x:c>
      <x:c r="B193" s="24" t="n">
        <x:v>40</x:v>
      </x:c>
      <x:c r="C193" s="24" t="str">
        <x:v>D — niski priorytet/wykluczyć</x:v>
      </x:c>
      <x:c r="D193" s="47" t="str">
        <x:v>Shisha</x:v>
      </x:c>
      <x:c r="E193" s="47" t="str">
        <x:v>S1 — RYO/MYO, gilzy i nabijarki</x:v>
      </x:c>
      <x:c r="F193" s="47" t="str">
        <x:v>Nieustalony</x:v>
      </x:c>
      <x:c r="G193" s="47" t="str"/>
      <x:c r="H193" s="47" t="str"/>
      <x:c r="I193" s="47" t="str">
        <x:v>https://www.shisha.pl</x:v>
      </x:c>
      <x:c r="J193" s="47" t="str">
        <x:v>email, telefon</x:v>
      </x:c>
      <x:c r="K193" s="47" t="str">
        <x:v>Archiwum lub weryfikacja przy okazji</x:v>
      </x:c>
      <x:c r="L193" s="47" t="str">
        <x:v>Do weryfikacji</x:v>
      </x:c>
      <x:c r="M193" s="47" t="str">
        <x:v>https://www.shisha.pl</x:v>
      </x:c>
      <x:c r="N193" s="95" t="str">
        <x:v>Dodane z wyników wyszukiwania dla niszowych słów (Powermatic, Shisha, bletki). | Status źródłowy: Aktywny</x:v>
      </x:c>
    </x:row>
    <x:row r="194">
      <x:c r="A194" s="23" t="n">
        <x:v>255</x:v>
      </x:c>
      <x:c r="B194" s="24" t="n">
        <x:v>40</x:v>
      </x:c>
      <x:c r="C194" s="24" t="str">
        <x:v>D — niski priorytet/wykluczyć</x:v>
      </x:c>
      <x:c r="D194" s="47" t="str">
        <x:v>Mercatohurt</x:v>
      </x:c>
      <x:c r="E194" s="47" t="str">
        <x:v>S1 — RYO/MYO, gilzy i nabijarki</x:v>
      </x:c>
      <x:c r="F194" s="47" t="str">
        <x:v>Nieustalony</x:v>
      </x:c>
      <x:c r="G194" s="47" t="str"/>
      <x:c r="H194" s="47" t="str"/>
      <x:c r="I194" s="47" t="str">
        <x:v>https://www.mercatohurt.pl</x:v>
      </x:c>
      <x:c r="J194" s="47" t="str">
        <x:v>email, telefon</x:v>
      </x:c>
      <x:c r="K194" s="47" t="str">
        <x:v>Archiwum lub weryfikacja przy okazji</x:v>
      </x:c>
      <x:c r="L194" s="47" t="str">
        <x:v>Do weryfikacji</x:v>
      </x:c>
      <x:c r="M194" s="47" t="str">
        <x:v>https://www.mercatohurt.pl</x:v>
      </x:c>
      <x:c r="N194" s="95" t="str">
        <x:v>Dodane na prośbę użytkownika z wyników wyszukiwania (e-papierosy / nabijarki). | Status źródłowy: Aktywny</x:v>
      </x:c>
    </x:row>
    <x:row r="195">
      <x:c r="A195" s="23" t="n">
        <x:v>256</x:v>
      </x:c>
      <x:c r="B195" s="24" t="n">
        <x:v>40</x:v>
      </x:c>
      <x:c r="C195" s="24" t="str">
        <x:v>D — niski priorytet/wykluczyć</x:v>
      </x:c>
      <x:c r="D195" s="47" t="str">
        <x:v>Fumist</x:v>
      </x:c>
      <x:c r="E195" s="47" t="str">
        <x:v>S1 — RYO/MYO, gilzy i nabijarki</x:v>
      </x:c>
      <x:c r="F195" s="47" t="str">
        <x:v>Nieustalony</x:v>
      </x:c>
      <x:c r="G195" s="47" t="str"/>
      <x:c r="H195" s="47" t="str"/>
      <x:c r="I195" s="47" t="str">
        <x:v>https://www.fumist.pl</x:v>
      </x:c>
      <x:c r="J195" s="47" t="str">
        <x:v>email, telefon</x:v>
      </x:c>
      <x:c r="K195" s="47" t="str">
        <x:v>Archiwum lub weryfikacja przy okazji</x:v>
      </x:c>
      <x:c r="L195" s="47" t="str">
        <x:v>Do weryfikacji</x:v>
      </x:c>
      <x:c r="M195" s="47" t="str">
        <x:v>https://www.fumist.pl</x:v>
      </x:c>
      <x:c r="N195" s="95" t="str">
        <x:v>Dodane na prośbę użytkownika z wyników wyszukiwania (e-papierosy / nabijarki). | Status źródłowy: Aktywny</x:v>
      </x:c>
    </x:row>
    <x:row r="196">
      <x:c r="A196" s="23" t="n">
        <x:v>257</x:v>
      </x:c>
      <x:c r="B196" s="24" t="n">
        <x:v>40</x:v>
      </x:c>
      <x:c r="C196" s="24" t="str">
        <x:v>D — niski priorytet/wykluczyć</x:v>
      </x:c>
      <x:c r="D196" s="47" t="str">
        <x:v>Fugo Group</x:v>
      </x:c>
      <x:c r="E196" s="47" t="str">
        <x:v>S1 — RYO/MYO, gilzy i nabijarki</x:v>
      </x:c>
      <x:c r="F196" s="47" t="str">
        <x:v>Nieustalony</x:v>
      </x:c>
      <x:c r="G196" s="47" t="str"/>
      <x:c r="H196" s="47" t="str"/>
      <x:c r="I196" s="47" t="str">
        <x:v>https://www.fugo-group.com</x:v>
      </x:c>
      <x:c r="J196" s="47" t="str">
        <x:v>email, telefon</x:v>
      </x:c>
      <x:c r="K196" s="47" t="str">
        <x:v>Archiwum lub weryfikacja przy okazji</x:v>
      </x:c>
      <x:c r="L196" s="47" t="str">
        <x:v>Do weryfikacji</x:v>
      </x:c>
      <x:c r="M196" s="47" t="str">
        <x:v>https://www.fugo-group.com</x:v>
      </x:c>
      <x:c r="N196" s="95" t="str">
        <x:v>Dodane z wyników wyszukiwania dla niszowych słów (Powermatic, Shisha, bletki). | Status źródłowy: Aktywny</x:v>
      </x:c>
    </x:row>
    <x:row r="197">
      <x:c r="A197" s="23" t="n">
        <x:v>258</x:v>
      </x:c>
      <x:c r="B197" s="24" t="n">
        <x:v>40</x:v>
      </x:c>
      <x:c r="C197" s="24" t="str">
        <x:v>D — niski priorytet/wykluczyć</x:v>
      </x:c>
      <x:c r="D197" s="47" t="str">
        <x:v>E-Dym</x:v>
      </x:c>
      <x:c r="E197" s="47" t="str">
        <x:v>S4 — Vape/e-papierosy</x:v>
      </x:c>
      <x:c r="F197" s="47" t="str">
        <x:v>Nieustalony</x:v>
      </x:c>
      <x:c r="G197" s="47" t="str"/>
      <x:c r="H197" s="47" t="str"/>
      <x:c r="I197" s="47" t="str"/>
      <x:c r="J197" s="47" t="str">
        <x:v>email, telefon, WWW</x:v>
      </x:c>
      <x:c r="K197" s="47" t="str">
        <x:v>Archiwum lub weryfikacja przy okazji</x:v>
      </x:c>
      <x:c r="L197" s="47" t="str">
        <x:v>Do weryfikacji</x:v>
      </x:c>
      <x:c r="M197" s="47" t="str"/>
      <x:c r="N197" s="95" t="str">
        <x:v>Największa sieć vape z własnym B2B</x:v>
      </x:c>
    </x:row>
    <x:row r="198">
      <x:c r="A198" s="23" t="n">
        <x:v>297</x:v>
      </x:c>
      <x:c r="B198" s="24" t="n">
        <x:v>37</x:v>
      </x:c>
      <x:c r="C198" s="24" t="str">
        <x:v>D — niski priorytet/wykluczyć</x:v>
      </x:c>
      <x:c r="D198" s="47" t="str">
        <x:v>Joint Brothers</x:v>
      </x:c>
      <x:c r="E198" s="47" t="str">
        <x:v>S7 — Pozostałe/niezweryfikowane</x:v>
      </x:c>
      <x:c r="F198" s="47" t="str">
        <x:v>Śląskie</x:v>
      </x:c>
      <x:c r="G198" s="47" t="str"/>
      <x:c r="H198" s="47" t="str">
        <x:v>721 430 027</x:v>
      </x:c>
      <x:c r="I198" s="47" t="str">
        <x:v>https://jointbrothers.eu</x:v>
      </x:c>
      <x:c r="J198" s="47" t="str">
        <x:v>email</x:v>
      </x:c>
      <x:c r="K198" s="47" t="str">
        <x:v>Archiwum lub weryfikacja przy okazji</x:v>
      </x:c>
      <x:c r="L198" s="47" t="str">
        <x:v>Do weryfikacji</x:v>
      </x:c>
      <x:c r="M198" s="47" t="str">
        <x:v>https://jointbrothers.eu</x:v>
      </x:c>
      <x:c r="N198" s="95" t="str"/>
    </x:row>
    <x:row r="199">
      <x:c r="A199" s="23" t="n">
        <x:v>298</x:v>
      </x:c>
      <x:c r="B199" s="24" t="n">
        <x:v>37</x:v>
      </x:c>
      <x:c r="C199" s="24" t="str">
        <x:v>D — niski priorytet/wykluczyć</x:v>
      </x:c>
      <x:c r="D199" s="47" t="str">
        <x:v>Bitlogic</x:v>
      </x:c>
      <x:c r="E199" s="47" t="str">
        <x:v>S7 — Pozostałe/niezweryfikowane</x:v>
      </x:c>
      <x:c r="F199" s="47" t="str">
        <x:v>Lubuskie</x:v>
      </x:c>
      <x:c r="G199" s="47" t="str">
        <x:v>hurtownia@bitlogic.pl</x:v>
      </x:c>
      <x:c r="H199" s="47" t="str"/>
      <x:c r="I199" s="47" t="str">
        <x:v>https://www.bitlogic.pl</x:v>
      </x:c>
      <x:c r="J199" s="47" t="str">
        <x:v>telefon</x:v>
      </x:c>
      <x:c r="K199" s="47" t="str">
        <x:v>Archiwum lub weryfikacja przy okazji</x:v>
      </x:c>
      <x:c r="L199" s="47" t="str">
        <x:v>Do weryfikacji</x:v>
      </x:c>
      <x:c r="M199" s="47" t="str">
        <x:v>https://www.bitlogic.pl</x:v>
      </x:c>
      <x:c r="N199" s="95" t="str"/>
    </x:row>
    <x:row r="200">
      <x:c r="A200" s="23" t="n">
        <x:v>299</x:v>
      </x:c>
      <x:c r="B200" s="24" t="n">
        <x:v>37</x:v>
      </x:c>
      <x:c r="C200" s="24" t="str">
        <x:v>D — niski priorytet/wykluczyć</x:v>
      </x:c>
      <x:c r="D200" s="47" t="str">
        <x:v>Tabakeria / Avalons</x:v>
      </x:c>
      <x:c r="E200" s="47" t="str">
        <x:v>S1 — RYO/MYO, gilzy i nabijarki</x:v>
      </x:c>
      <x:c r="F200" s="47" t="str">
        <x:v>Nieustalony</x:v>
      </x:c>
      <x:c r="G200" s="47" t="str"/>
      <x:c r="H200" s="47" t="str"/>
      <x:c r="I200" s="47" t="str">
        <x:v>https://tabakeria.lv</x:v>
      </x:c>
      <x:c r="J200" s="47" t="str">
        <x:v>email, telefon</x:v>
      </x:c>
      <x:c r="K200" s="47" t="str">
        <x:v>Archiwum lub weryfikacja przy okazji</x:v>
      </x:c>
      <x:c r="L200" s="47" t="str">
        <x:v>Do weryfikacji</x:v>
      </x:c>
      <x:c r="M200" s="47" t="str">
        <x:v>https://tabakeria.lv</x:v>
      </x:c>
      <x:c r="N200" s="95" t="str">
        <x:v>Status źródłowy: Dostępny w katalogu</x:v>
      </x:c>
    </x:row>
    <x:row r="201">
      <x:c r="A201" s="23" t="n">
        <x:v>300</x:v>
      </x:c>
      <x:c r="B201" s="24" t="n">
        <x:v>37</x:v>
      </x:c>
      <x:c r="C201" s="24" t="str">
        <x:v>D — niski priorytet/wykluczyć</x:v>
      </x:c>
      <x:c r="D201" s="47" t="str">
        <x:v>Klaipedoslam.lt</x:v>
      </x:c>
      <x:c r="E201" s="47" t="str">
        <x:v>S1 — RYO/MYO, gilzy i nabijarki</x:v>
      </x:c>
      <x:c r="F201" s="47" t="str">
        <x:v>Nieustalony</x:v>
      </x:c>
      <x:c r="G201" s="47" t="str"/>
      <x:c r="H201" s="47" t="str"/>
      <x:c r="I201" s="47" t="str">
        <x:v>https://www.klaipedoslam.lt</x:v>
      </x:c>
      <x:c r="J201" s="47" t="str">
        <x:v>email, telefon</x:v>
      </x:c>
      <x:c r="K201" s="47" t="str">
        <x:v>Archiwum lub weryfikacja przy okazji</x:v>
      </x:c>
      <x:c r="L201" s="47" t="str">
        <x:v>Do weryfikacji</x:v>
      </x:c>
      <x:c r="M201" s="47" t="str">
        <x:v>https://www.klaipedoslam.lt</x:v>
      </x:c>
      <x:c r="N201" s="95" t="str">
        <x:v>Status źródłowy: Dostępny w katalogu</x:v>
      </x:c>
    </x:row>
    <x:row r="202">
      <x:c r="A202" s="23" t="n">
        <x:v>301</x:v>
      </x:c>
      <x:c r="B202" s="24" t="n">
        <x:v>36</x:v>
      </x:c>
      <x:c r="C202" s="24" t="str">
        <x:v>D — niski priorytet/wykluczyć</x:v>
      </x:c>
      <x:c r="D202" s="47" t="str">
        <x:v>Procent 2.0</x:v>
      </x:c>
      <x:c r="E202" s="47" t="str">
        <x:v>S6 — Retail/e-commerce</x:v>
      </x:c>
      <x:c r="F202" s="47" t="str">
        <x:v>Podlaskie</x:v>
      </x:c>
      <x:c r="G202" s="47" t="str"/>
      <x:c r="H202" s="47" t="str">
        <x:v>515 323 153</x:v>
      </x:c>
      <x:c r="I202" s="47" t="str"/>
      <x:c r="J202" s="47" t="str">
        <x:v>email, WWW</x:v>
      </x:c>
      <x:c r="K202" s="47" t="str">
        <x:v>Archiwum lub weryfikacja przy okazji</x:v>
      </x:c>
      <x:c r="L202" s="47" t="str">
        <x:v>Do weryfikacji</x:v>
      </x:c>
      <x:c r="M202" s="47" t="str"/>
      <x:c r="N202" s="95" t="str"/>
    </x:row>
    <x:row r="203">
      <x:c r="A203" s="23" t="n">
        <x:v>302</x:v>
      </x:c>
      <x:c r="B203" s="24" t="n">
        <x:v>35</x:v>
      </x:c>
      <x:c r="C203" s="24" t="str">
        <x:v>D — niski priorytet/wykluczyć</x:v>
      </x:c>
      <x:c r="D203" s="47" t="str">
        <x:v>Smooke.pl</x:v>
      </x:c>
      <x:c r="E203" s="47" t="str">
        <x:v>S4 — Vape/e-papierosy</x:v>
      </x:c>
      <x:c r="F203" s="47" t="str">
        <x:v>Mazowieckie</x:v>
      </x:c>
      <x:c r="G203" s="47" t="str"/>
      <x:c r="H203" s="47" t="str"/>
      <x:c r="I203" s="47" t="str"/>
      <x:c r="J203" s="47" t="str">
        <x:v>email, telefon, WWW</x:v>
      </x:c>
      <x:c r="K203" s="47" t="str">
        <x:v>Archiwum lub weryfikacja przy okazji</x:v>
      </x:c>
      <x:c r="L203" s="47" t="str">
        <x:v>Do weryfikacji</x:v>
      </x:c>
      <x:c r="M203" s="47" t="str"/>
      <x:c r="N203" s="95" t="str">
        <x:v>Dodano z final_turn_001.md; Potencjał: Niski | Status źródłowy: Niezweryfikowany</x:v>
      </x:c>
    </x:row>
    <x:row r="204">
      <x:c r="A204" s="23" t="n">
        <x:v>303</x:v>
      </x:c>
      <x:c r="B204" s="24" t="n">
        <x:v>35</x:v>
      </x:c>
      <x:c r="C204" s="24" t="str">
        <x:v>D — niski priorytet/wykluczyć</x:v>
      </x:c>
      <x:c r="D204" s="47" t="str">
        <x:v>Lovikape</x:v>
      </x:c>
      <x:c r="E204" s="47" t="str">
        <x:v>S4 — Vape/e-papierosy</x:v>
      </x:c>
      <x:c r="F204" s="47" t="str">
        <x:v>Warmińsko-mazurskie</x:v>
      </x:c>
      <x:c r="G204" s="47" t="str"/>
      <x:c r="H204" s="47" t="str"/>
      <x:c r="I204" s="47" t="str"/>
      <x:c r="J204" s="47" t="str">
        <x:v>email, telefon, WWW</x:v>
      </x:c>
      <x:c r="K204" s="47" t="str">
        <x:v>Archiwum lub weryfikacja przy okazji</x:v>
      </x:c>
      <x:c r="L204" s="47" t="str">
        <x:v>Do weryfikacji</x:v>
      </x:c>
      <x:c r="M204" s="47" t="str"/>
      <x:c r="N204" s="95" t="str">
        <x:v>Dodano z final_turn_001.md; Potencjał: Niski | Status źródłowy: Niezweryfikowany</x:v>
      </x:c>
    </x:row>
    <x:row r="205">
      <x:c r="A205" s="23" t="n">
        <x:v>304</x:v>
      </x:c>
      <x:c r="B205" s="24" t="n">
        <x:v>33</x:v>
      </x:c>
      <x:c r="C205" s="24" t="str">
        <x:v>D — niski priorytet/wykluczyć</x:v>
      </x:c>
      <x:c r="D205" s="47" t="str">
        <x:v>Tabak Service International</x:v>
      </x:c>
      <x:c r="E205" s="47" t="str">
        <x:v>S7 — Pozostałe/niezweryfikowane</x:v>
      </x:c>
      <x:c r="F205" s="47" t="str">
        <x:v>Pomorskie</x:v>
      </x:c>
      <x:c r="G205" s="47" t="str"/>
      <x:c r="H205" s="47" t="str"/>
      <x:c r="I205" s="47" t="str">
        <x:v>https://www.tabakinternational.pl</x:v>
      </x:c>
      <x:c r="J205" s="47" t="str">
        <x:v>email, telefon</x:v>
      </x:c>
      <x:c r="K205" s="47" t="str">
        <x:v>Archiwum lub weryfikacja przy okazji</x:v>
      </x:c>
      <x:c r="L205" s="47" t="str">
        <x:v>Do weryfikacji</x:v>
      </x:c>
      <x:c r="M205" s="47" t="str">
        <x:v>https://www.tabakinternational.pl</x:v>
      </x:c>
      <x:c r="N205" s="95" t="str"/>
    </x:row>
    <x:row r="206">
      <x:c r="A206" s="23" t="n">
        <x:v>305</x:v>
      </x:c>
      <x:c r="B206" s="24" t="n">
        <x:v>32</x:v>
      </x:c>
      <x:c r="C206" s="24" t="str">
        <x:v>D — niski priorytet/wykluczyć</x:v>
      </x:c>
      <x:c r="D206" s="47" t="str">
        <x:v>Vshub24</x:v>
      </x:c>
      <x:c r="E206" s="47" t="str">
        <x:v>S3 — Akcesoria dla palaczy/headshop</x:v>
      </x:c>
      <x:c r="F206" s="47" t="str">
        <x:v>Nieustalony</x:v>
      </x:c>
      <x:c r="G206" s="47" t="str"/>
      <x:c r="H206" s="47" t="str">
        <x:v>255 255 255</x:v>
      </x:c>
      <x:c r="I206" s="47" t="str">
        <x:v>https://www.vshub24.com</x:v>
      </x:c>
      <x:c r="J206" s="47" t="str">
        <x:v>email</x:v>
      </x:c>
      <x:c r="K206" s="47" t="str">
        <x:v>Archiwum lub weryfikacja przy okazji</x:v>
      </x:c>
      <x:c r="L206" s="47" t="str">
        <x:v>Do weryfikacji</x:v>
      </x:c>
      <x:c r="M206" s="47" t="str">
        <x:v>https://www.vshub24.com</x:v>
      </x:c>
      <x:c r="N206" s="95" t="str">
        <x:v>Automatycznie pobrane przez skrypt. | Status źródłowy: Aktywny</x:v>
      </x:c>
    </x:row>
    <x:row r="207">
      <x:c r="A207" s="23" t="n">
        <x:v>306</x:v>
      </x:c>
      <x:c r="B207" s="24" t="n">
        <x:v>32</x:v>
      </x:c>
      <x:c r="C207" s="24" t="str">
        <x:v>D — niski priorytet/wykluczyć</x:v>
      </x:c>
      <x:c r="D207" s="47" t="str">
        <x:v>Naturecan</x:v>
      </x:c>
      <x:c r="E207" s="47" t="str">
        <x:v>S3 — Akcesoria dla palaczy/headshop</x:v>
      </x:c>
      <x:c r="F207" s="47" t="str">
        <x:v>Nieustalony</x:v>
      </x:c>
      <x:c r="G207" s="47" t="str"/>
      <x:c r="H207" s="47" t="str">
        <x:v>176484843</x:v>
      </x:c>
      <x:c r="I207" s="47" t="str">
        <x:v>https://www.naturecan.pl</x:v>
      </x:c>
      <x:c r="J207" s="47" t="str">
        <x:v>email</x:v>
      </x:c>
      <x:c r="K207" s="47" t="str">
        <x:v>Archiwum lub weryfikacja przy okazji</x:v>
      </x:c>
      <x:c r="L207" s="47" t="str">
        <x:v>Do weryfikacji</x:v>
      </x:c>
      <x:c r="M207" s="47" t="str">
        <x:v>https://www.naturecan.pl</x:v>
      </x:c>
      <x:c r="N207" s="95" t="str">
        <x:v>Automatycznie pobrane przez skrypt. | Status źródłowy: Aktywny</x:v>
      </x:c>
    </x:row>
    <x:row r="208">
      <x:c r="A208" s="23" t="n">
        <x:v>307</x:v>
      </x:c>
      <x:c r="B208" s="24" t="n">
        <x:v>32</x:v>
      </x:c>
      <x:c r="C208" s="24" t="str">
        <x:v>D — niski priorytet/wykluczyć</x:v>
      </x:c>
      <x:c r="D208" s="47" t="str">
        <x:v>Mrcook</x:v>
      </x:c>
      <x:c r="E208" s="47" t="str">
        <x:v>S3 — Akcesoria dla palaczy/headshop</x:v>
      </x:c>
      <x:c r="F208" s="47" t="str">
        <x:v>Nieustalony</x:v>
      </x:c>
      <x:c r="G208" s="47" t="str"/>
      <x:c r="H208" s="47" t="str">
        <x:v>171698694</x:v>
      </x:c>
      <x:c r="I208" s="47" t="str">
        <x:v>https://www.mrcook.pl</x:v>
      </x:c>
      <x:c r="J208" s="47" t="str">
        <x:v>email</x:v>
      </x:c>
      <x:c r="K208" s="47" t="str">
        <x:v>Archiwum lub weryfikacja przy okazji</x:v>
      </x:c>
      <x:c r="L208" s="47" t="str">
        <x:v>Do weryfikacji</x:v>
      </x:c>
      <x:c r="M208" s="47" t="str">
        <x:v>https://www.mrcook.pl</x:v>
      </x:c>
      <x:c r="N208" s="95" t="str">
        <x:v>Automatycznie pobrane przez skrypt. | Status źródłowy: Aktywny</x:v>
      </x:c>
    </x:row>
    <x:row r="209">
      <x:c r="A209" s="23" t="n">
        <x:v>308</x:v>
      </x:c>
      <x:c r="B209" s="24" t="n">
        <x:v>32</x:v>
      </x:c>
      <x:c r="C209" s="24" t="str">
        <x:v>D — niski priorytet/wykluczyć</x:v>
      </x:c>
      <x:c r="D209" s="47" t="str">
        <x:v>Hempmont</x:v>
      </x:c>
      <x:c r="E209" s="47" t="str">
        <x:v>S3 — Akcesoria dla palaczy/headshop</x:v>
      </x:c>
      <x:c r="F209" s="47" t="str">
        <x:v>Nieustalony</x:v>
      </x:c>
      <x:c r="G209" s="47" t="str"/>
      <x:c r="H209" s="47" t="str">
        <x:v>100459133</x:v>
      </x:c>
      <x:c r="I209" s="47" t="str">
        <x:v>https://www.hempmont.pl</x:v>
      </x:c>
      <x:c r="J209" s="47" t="str">
        <x:v>email</x:v>
      </x:c>
      <x:c r="K209" s="47" t="str">
        <x:v>Archiwum lub weryfikacja przy okazji</x:v>
      </x:c>
      <x:c r="L209" s="47" t="str">
        <x:v>Do weryfikacji</x:v>
      </x:c>
      <x:c r="M209" s="47" t="str">
        <x:v>https://www.hempmont.pl</x:v>
      </x:c>
      <x:c r="N209" s="95" t="str">
        <x:v>Automatycznie pobrane przez skrypt. | Status źródłowy: Aktywny</x:v>
      </x:c>
    </x:row>
    <x:row r="210">
      <x:c r="A210" s="23" t="n">
        <x:v>309</x:v>
      </x:c>
      <x:c r="B210" s="24" t="n">
        <x:v>32</x:v>
      </x:c>
      <x:c r="C210" s="24" t="str">
        <x:v>D — niski priorytet/wykluczyć</x:v>
      </x:c>
      <x:c r="D210" s="47" t="str">
        <x:v>77Pouches</x:v>
      </x:c>
      <x:c r="E210" s="47" t="str">
        <x:v>S3 — Akcesoria dla palaczy/headshop</x:v>
      </x:c>
      <x:c r="F210" s="47" t="str">
        <x:v>Nieustalony</x:v>
      </x:c>
      <x:c r="G210" s="47" t="str"/>
      <x:c r="H210" s="47" t="str">
        <x:v>178443757</x:v>
      </x:c>
      <x:c r="I210" s="47" t="str">
        <x:v>https://www.77pouches.com</x:v>
      </x:c>
      <x:c r="J210" s="47" t="str">
        <x:v>email</x:v>
      </x:c>
      <x:c r="K210" s="47" t="str">
        <x:v>Archiwum lub weryfikacja przy okazji</x:v>
      </x:c>
      <x:c r="L210" s="47" t="str">
        <x:v>Do weryfikacji</x:v>
      </x:c>
      <x:c r="M210" s="47" t="str">
        <x:v>https://www.77pouches.com</x:v>
      </x:c>
      <x:c r="N210" s="95" t="str">
        <x:v>Automatycznie pobrane przez skrypt. | Status źródłowy: Aktywny</x:v>
      </x:c>
    </x:row>
    <x:row r="211">
      <x:c r="A211" s="23" t="n">
        <x:v>312</x:v>
      </x:c>
      <x:c r="B211" s="24" t="n">
        <x:v>31</x:v>
      </x:c>
      <x:c r="C211" s="24" t="str">
        <x:v>D — niski priorytet/wykluczyć</x:v>
      </x:c>
      <x:c r="D211" s="47" t="str">
        <x:v>Wujo.pl</x:v>
      </x:c>
      <x:c r="E211" s="47" t="str">
        <x:v>S7 — Pozostałe/niezweryfikowane</x:v>
      </x:c>
      <x:c r="F211" s="47" t="str">
        <x:v>Nieustalony</x:v>
      </x:c>
      <x:c r="G211" s="47" t="str"/>
      <x:c r="H211" s="47" t="str"/>
      <x:c r="I211" s="47" t="str">
        <x:v>https://wujo.pl/brand/967-wujopl</x:v>
      </x:c>
      <x:c r="J211" s="47" t="str">
        <x:v>email, telefon</x:v>
      </x:c>
      <x:c r="K211" s="47" t="str">
        <x:v>Archiwum lub weryfikacja przy okazji</x:v>
      </x:c>
      <x:c r="L211" s="47" t="str">
        <x:v>Do weryfikacji</x:v>
      </x:c>
      <x:c r="M211" s="47" t="str">
        <x:v>https://wujo.pl/brand/967-wujopl</x:v>
      </x:c>
      <x:c r="N211" s="95" t="str"/>
    </x:row>
    <x:row r="212">
      <x:c r="A212" s="23" t="n">
        <x:v>313</x:v>
      </x:c>
      <x:c r="B212" s="24" t="n">
        <x:v>31</x:v>
      </x:c>
      <x:c r="C212" s="24" t="str">
        <x:v>D — niski priorytet/wykluczyć</x:v>
      </x:c>
      <x:c r="D212" s="47" t="str">
        <x:v>TabakOnline.com</x:v>
      </x:c>
      <x:c r="E212" s="47" t="str">
        <x:v>S7 — Pozostałe/niezweryfikowane</x:v>
      </x:c>
      <x:c r="F212" s="47" t="str">
        <x:v>Nieustalony</x:v>
      </x:c>
      <x:c r="G212" s="47" t="str"/>
      <x:c r="H212" s="47" t="str"/>
      <x:c r="I212" s="47" t="str">
        <x:v>https://www.tabakonline.com/hurtownia-r8</x:v>
      </x:c>
      <x:c r="J212" s="47" t="str">
        <x:v>email, telefon</x:v>
      </x:c>
      <x:c r="K212" s="47" t="str">
        <x:v>Archiwum lub weryfikacja przy okazji</x:v>
      </x:c>
      <x:c r="L212" s="47" t="str">
        <x:v>Do weryfikacji</x:v>
      </x:c>
      <x:c r="M212" s="47" t="str">
        <x:v>https://www.tabakonline.com/hurtownia-r8</x:v>
      </x:c>
      <x:c r="N212" s="95" t="str"/>
    </x:row>
    <x:row r="213">
      <x:c r="A213" s="23" t="n">
        <x:v>314</x:v>
      </x:c>
      <x:c r="B213" s="24" t="n">
        <x:v>31</x:v>
      </x:c>
      <x:c r="C213" s="24" t="str">
        <x:v>D — niski priorytet/wykluczyć</x:v>
      </x:c>
      <x:c r="D213" s="47" t="str">
        <x:v>Mercato Hurt</x:v>
      </x:c>
      <x:c r="E213" s="47" t="str">
        <x:v>S7 — Pozostałe/niezweryfikowane</x:v>
      </x:c>
      <x:c r="F213" s="47" t="str">
        <x:v>Nieustalony</x:v>
      </x:c>
      <x:c r="G213" s="47" t="str"/>
      <x:c r="H213" s="47" t="str"/>
      <x:c r="I213" s="47" t="str">
        <x:v>https://b2b.mercatohurt.pl/pl/page/o-nas</x:v>
      </x:c>
      <x:c r="J213" s="47" t="str">
        <x:v>email, telefon</x:v>
      </x:c>
      <x:c r="K213" s="47" t="str">
        <x:v>Archiwum lub weryfikacja przy okazji</x:v>
      </x:c>
      <x:c r="L213" s="47" t="str">
        <x:v>Do weryfikacji</x:v>
      </x:c>
      <x:c r="M213" s="47" t="str">
        <x:v>https://b2b.mercatohurt.pl/pl/page/o-nas</x:v>
      </x:c>
      <x:c r="N213" s="95" t="str"/>
    </x:row>
    <x:row r="214">
      <x:c r="A214" s="23" t="n">
        <x:v>315</x:v>
      </x:c>
      <x:c r="B214" s="24" t="n">
        <x:v>31</x:v>
      </x:c>
      <x:c r="C214" s="24" t="str">
        <x:v>D — niski priorytet/wykluczyć</x:v>
      </x:c>
      <x:c r="D214" s="47" t="str">
        <x:v>Liquido</x:v>
      </x:c>
      <x:c r="E214" s="47" t="str">
        <x:v>S7 — Pozostałe/niezweryfikowane</x:v>
      </x:c>
      <x:c r="F214" s="47" t="str">
        <x:v>Nieustalony</x:v>
      </x:c>
      <x:c r="G214" s="47" t="str"/>
      <x:c r="H214" s="47" t="str"/>
      <x:c r="I214" s="47" t="str">
        <x:v>https://liquido.pl/strona/5-liquidy-hurt-hurtownia</x:v>
      </x:c>
      <x:c r="J214" s="47" t="str">
        <x:v>email, telefon</x:v>
      </x:c>
      <x:c r="K214" s="47" t="str">
        <x:v>Archiwum lub weryfikacja przy okazji</x:v>
      </x:c>
      <x:c r="L214" s="47" t="str">
        <x:v>Do weryfikacji</x:v>
      </x:c>
      <x:c r="M214" s="47" t="str">
        <x:v>https://liquido.pl/strona/5-liquidy-hurt-hurtownia</x:v>
      </x:c>
      <x:c r="N214" s="95" t="str"/>
    </x:row>
    <x:row r="215">
      <x:c r="A215" s="23" t="n">
        <x:v>316</x:v>
      </x:c>
      <x:c r="B215" s="24" t="n">
        <x:v>31</x:v>
      </x:c>
      <x:c r="C215" s="24" t="str">
        <x:v>D — niski priorytet/wykluczyć</x:v>
      </x:c>
      <x:c r="D215" s="47" t="str">
        <x:v>IndorShop</x:v>
      </x:c>
      <x:c r="E215" s="47" t="str">
        <x:v>S7 — Pozostałe/niezweryfikowane</x:v>
      </x:c>
      <x:c r="F215" s="47" t="str">
        <x:v>Nieustalony</x:v>
      </x:c>
      <x:c r="G215" s="47" t="str"/>
      <x:c r="H215" s="47" t="str"/>
      <x:c r="I215" s="47" t="str">
        <x:v>https://indorshop.pl/kategoria/headshop</x:v>
      </x:c>
      <x:c r="J215" s="47" t="str">
        <x:v>email, telefon</x:v>
      </x:c>
      <x:c r="K215" s="47" t="str">
        <x:v>Archiwum lub weryfikacja przy okazji</x:v>
      </x:c>
      <x:c r="L215" s="47" t="str">
        <x:v>Do weryfikacji</x:v>
      </x:c>
      <x:c r="M215" s="47" t="str">
        <x:v>https://indorshop.pl/kategoria/headshop</x:v>
      </x:c>
      <x:c r="N215" s="95" t="str"/>
    </x:row>
    <x:row r="216">
      <x:c r="A216" s="23" t="n">
        <x:v>319</x:v>
      </x:c>
      <x:c r="B216" s="24" t="n">
        <x:v>28</x:v>
      </x:c>
      <x:c r="C216" s="24" t="str">
        <x:v>D — niski priorytet/wykluczyć</x:v>
      </x:c>
      <x:c r="D216" s="47" t="str">
        <x:v>Strefawapera</x:v>
      </x:c>
      <x:c r="E216" s="47" t="str">
        <x:v>S3 — Akcesoria dla palaczy/headshop</x:v>
      </x:c>
      <x:c r="F216" s="47" t="str">
        <x:v>Nieustalony</x:v>
      </x:c>
      <x:c r="G216" s="47" t="str"/>
      <x:c r="H216" s="47" t="str"/>
      <x:c r="I216" s="47" t="str">
        <x:v>https://www.strefawapera.pl</x:v>
      </x:c>
      <x:c r="J216" s="47" t="str">
        <x:v>email, telefon</x:v>
      </x:c>
      <x:c r="K216" s="47" t="str">
        <x:v>Archiwum lub weryfikacja przy okazji</x:v>
      </x:c>
      <x:c r="L216" s="47" t="str">
        <x:v>Do weryfikacji</x:v>
      </x:c>
      <x:c r="M216" s="47" t="str">
        <x:v>https://www.strefawapera.pl</x:v>
      </x:c>
      <x:c r="N216" s="95" t="str">
        <x:v>Automatycznie pobrane przez skrypt. | Status źródłowy: Aktywny</x:v>
      </x:c>
    </x:row>
    <x:row r="217">
      <x:c r="A217" s="23" t="n">
        <x:v>320</x:v>
      </x:c>
      <x:c r="B217" s="24" t="n">
        <x:v>28</x:v>
      </x:c>
      <x:c r="C217" s="24" t="str">
        <x:v>D — niski priorytet/wykluczyć</x:v>
      </x:c>
      <x:c r="D217" s="47" t="str">
        <x:v>Royk</x:v>
      </x:c>
      <x:c r="E217" s="47" t="str">
        <x:v>S3 — Akcesoria dla palaczy/headshop</x:v>
      </x:c>
      <x:c r="F217" s="47" t="str">
        <x:v>Nieustalony</x:v>
      </x:c>
      <x:c r="G217" s="47" t="str"/>
      <x:c r="H217" s="47" t="str"/>
      <x:c r="I217" s="47" t="str">
        <x:v>https://www.royk.pl</x:v>
      </x:c>
      <x:c r="J217" s="47" t="str">
        <x:v>email, telefon</x:v>
      </x:c>
      <x:c r="K217" s="47" t="str">
        <x:v>Archiwum lub weryfikacja przy okazji</x:v>
      </x:c>
      <x:c r="L217" s="47" t="str">
        <x:v>Do weryfikacji</x:v>
      </x:c>
      <x:c r="M217" s="47" t="str">
        <x:v>https://www.royk.pl</x:v>
      </x:c>
      <x:c r="N217" s="95" t="str">
        <x:v>Automatycznie pobrane przez skrypt. | Status źródłowy: Aktywny</x:v>
      </x:c>
    </x:row>
    <x:row r="218">
      <x:c r="A218" s="23" t="n">
        <x:v>321</x:v>
      </x:c>
      <x:c r="B218" s="24" t="n">
        <x:v>28</x:v>
      </x:c>
      <x:c r="C218" s="24" t="str">
        <x:v>D — niski priorytet/wykluczyć</x:v>
      </x:c>
      <x:c r="D218" s="47" t="str">
        <x:v>Hempking</x:v>
      </x:c>
      <x:c r="E218" s="47" t="str">
        <x:v>S3 — Akcesoria dla palaczy/headshop</x:v>
      </x:c>
      <x:c r="F218" s="47" t="str">
        <x:v>Nieustalony</x:v>
      </x:c>
      <x:c r="G218" s="47" t="str"/>
      <x:c r="H218" s="47" t="str"/>
      <x:c r="I218" s="47" t="str">
        <x:v>https://www.hempking.eu</x:v>
      </x:c>
      <x:c r="J218" s="47" t="str">
        <x:v>email, telefon</x:v>
      </x:c>
      <x:c r="K218" s="47" t="str">
        <x:v>Archiwum lub weryfikacja przy okazji</x:v>
      </x:c>
      <x:c r="L218" s="47" t="str">
        <x:v>Do weryfikacji</x:v>
      </x:c>
      <x:c r="M218" s="47" t="str">
        <x:v>https://www.hempking.eu</x:v>
      </x:c>
      <x:c r="N218" s="95" t="str">
        <x:v>Automatycznie pobrane przez skrypt. | Status źródłowy: Aktywny</x:v>
      </x:c>
    </x:row>
    <x:row r="219">
      <x:c r="A219" s="23" t="n">
        <x:v>322</x:v>
      </x:c>
      <x:c r="B219" s="24" t="n">
        <x:v>28</x:v>
      </x:c>
      <x:c r="C219" s="24" t="str">
        <x:v>D — niski priorytet/wykluczyć</x:v>
      </x:c>
      <x:c r="D219" s="47" t="str">
        <x:v>Drv Distribution</x:v>
      </x:c>
      <x:c r="E219" s="47" t="str">
        <x:v>S3 — Akcesoria dla palaczy/headshop</x:v>
      </x:c>
      <x:c r="F219" s="47" t="str">
        <x:v>Nieustalony</x:v>
      </x:c>
      <x:c r="G219" s="47" t="str"/>
      <x:c r="H219" s="47" t="str"/>
      <x:c r="I219" s="47" t="str">
        <x:v>https://www.drv-distribution.pl</x:v>
      </x:c>
      <x:c r="J219" s="47" t="str">
        <x:v>email, telefon</x:v>
      </x:c>
      <x:c r="K219" s="47" t="str">
        <x:v>Archiwum lub weryfikacja przy okazji</x:v>
      </x:c>
      <x:c r="L219" s="47" t="str">
        <x:v>Do weryfikacji</x:v>
      </x:c>
      <x:c r="M219" s="47" t="str">
        <x:v>https://www.drv-distribution.pl</x:v>
      </x:c>
      <x:c r="N219" s="95" t="str">
        <x:v>Automatycznie pobrane przez skrypt. | Status źródłowy: Aktywny</x:v>
      </x:c>
    </x:row>
    <x:row r="220">
      <x:c r="A220" s="23" t="n">
        <x:v>323</x:v>
      </x:c>
      <x:c r="B220" s="24" t="n">
        <x:v>28</x:v>
      </x:c>
      <x:c r="C220" s="24" t="str">
        <x:v>D — niski priorytet/wykluczyć</x:v>
      </x:c>
      <x:c r="D220" s="47" t="str">
        <x:v>Ckbiz</x:v>
      </x:c>
      <x:c r="E220" s="47" t="str">
        <x:v>S3 — Akcesoria dla palaczy/headshop</x:v>
      </x:c>
      <x:c r="F220" s="47" t="str">
        <x:v>Nieustalony</x:v>
      </x:c>
      <x:c r="G220" s="47" t="str"/>
      <x:c r="H220" s="47" t="str"/>
      <x:c r="I220" s="47" t="str">
        <x:v>https://www.ckbiz.pl</x:v>
      </x:c>
      <x:c r="J220" s="47" t="str">
        <x:v>email, telefon</x:v>
      </x:c>
      <x:c r="K220" s="47" t="str">
        <x:v>Archiwum lub weryfikacja przy okazji</x:v>
      </x:c>
      <x:c r="L220" s="47" t="str">
        <x:v>Do weryfikacji</x:v>
      </x:c>
      <x:c r="M220" s="47" t="str">
        <x:v>https://www.ckbiz.pl</x:v>
      </x:c>
      <x:c r="N220" s="95" t="str">
        <x:v>Automatycznie pobrane przez skrypt. | Status źródłowy: Aktywny</x:v>
      </x:c>
    </x:row>
    <x:row r="221">
      <x:c r="A221" s="23" t="n">
        <x:v>324</x:v>
      </x:c>
      <x:c r="B221" s="24" t="n">
        <x:v>28</x:v>
      </x:c>
      <x:c r="C221" s="24" t="str">
        <x:v>D — niski priorytet/wykluczyć</x:v>
      </x:c>
      <x:c r="D221" s="47" t="str">
        <x:v>Bulkbong</x:v>
      </x:c>
      <x:c r="E221" s="47" t="str">
        <x:v>S3 — Akcesoria dla palaczy/headshop</x:v>
      </x:c>
      <x:c r="F221" s="47" t="str">
        <x:v>Nieustalony</x:v>
      </x:c>
      <x:c r="G221" s="47" t="str"/>
      <x:c r="H221" s="47" t="str"/>
      <x:c r="I221" s="47" t="str">
        <x:v>https://www.bulkbong.com</x:v>
      </x:c>
      <x:c r="J221" s="47" t="str">
        <x:v>email, telefon</x:v>
      </x:c>
      <x:c r="K221" s="47" t="str">
        <x:v>Archiwum lub weryfikacja przy okazji</x:v>
      </x:c>
      <x:c r="L221" s="47" t="str">
        <x:v>Do weryfikacji</x:v>
      </x:c>
      <x:c r="M221" s="47" t="str">
        <x:v>https://www.bulkbong.com</x:v>
      </x:c>
      <x:c r="N221" s="95" t="str">
        <x:v>Dodane na prośbę użytkownika z wyników wyszukiwania (maszynki do skręcania). | Status źródłowy: Aktywny</x:v>
      </x:c>
    </x:row>
    <x:row r="222">
      <x:c r="A222" s="23" t="n">
        <x:v>325</x:v>
      </x:c>
      <x:c r="B222" s="24" t="n">
        <x:v>24</x:v>
      </x:c>
      <x:c r="C222" s="24" t="str">
        <x:v>D — niski priorytet/wykluczyć</x:v>
      </x:c>
      <x:c r="D222" s="47" t="str">
        <x:v>Tabak Polska Sp. z o.o. (lista sklepów)</x:v>
      </x:c>
      <x:c r="E222" s="47" t="str">
        <x:v>S7 — Pozostałe/niezweryfikowane</x:v>
      </x:c>
      <x:c r="F222" s="47" t="str">
        <x:v>Nieustalony</x:v>
      </x:c>
      <x:c r="G222" s="47" t="str"/>
      <x:c r="H222" s="47" t="str"/>
      <x:c r="I222" s="47" t="str">
        <x:v>https://www.zyn.com/content/dam/wam/locale/poland/p5/sampling-offer/Za%C5</x:v>
      </x:c>
      <x:c r="J222" s="47" t="str">
        <x:v>email, telefon</x:v>
      </x:c>
      <x:c r="K222" s="47" t="str">
        <x:v>Archiwum lub weryfikacja przy okazji</x:v>
      </x:c>
      <x:c r="L222" s="47" t="str">
        <x:v>Do weryfikacji</x:v>
      </x:c>
      <x:c r="M222" s="47" t="str">
        <x:v>https://www.zyn.com/content/dam/wam/locale/poland/p5/sampling-offer/Za%C5</x:v>
      </x:c>
      <x:c r="N222" s="95" t="str"/>
    </x:row>
    <x:row r="223">
      <x:c r="A223" s="23" t="n">
        <x:v>326</x:v>
      </x:c>
      <x:c r="B223" s="24" t="n">
        <x:v>24</x:v>
      </x:c>
      <x:c r="C223" s="24" t="str">
        <x:v>D — niski priorytet/wykluczyć</x:v>
      </x:c>
      <x:c r="D223" s="47" t="str">
        <x:v>TAKS Sp. z o.o.</x:v>
      </x:c>
      <x:c r="E223" s="47" t="str">
        <x:v>S7 — Pozostałe/niezweryfikowane</x:v>
      </x:c>
      <x:c r="F223" s="47" t="str">
        <x:v>Nieustalony</x:v>
      </x:c>
      <x:c r="G223" s="47" t="str"/>
      <x:c r="H223" s="47" t="str"/>
      <x:c r="I223" s="47" t="str">
        <x:v>https://www.taks.stg.pl/oferta/artykuly-tytoniowe-gdansk</x:v>
      </x:c>
      <x:c r="J223" s="47" t="str">
        <x:v>email, telefon</x:v>
      </x:c>
      <x:c r="K223" s="47" t="str">
        <x:v>Archiwum lub weryfikacja przy okazji</x:v>
      </x:c>
      <x:c r="L223" s="47" t="str">
        <x:v>Do weryfikacji</x:v>
      </x:c>
      <x:c r="M223" s="47" t="str">
        <x:v>https://www.taks.stg.pl/oferta/artykuly-tytoniowe-gdansk</x:v>
      </x:c>
      <x:c r="N223" s="95" t="str"/>
    </x:row>
    <x:row r="224">
      <x:c r="A224" s="26" t="n">
        <x:v>327</x:v>
      </x:c>
      <x:c r="B224" s="27" t="n">
        <x:v>20</x:v>
      </x:c>
      <x:c r="C224" s="27" t="str">
        <x:v>D — niski priorytet/wykluczyć</x:v>
      </x:c>
      <x:c r="D224" s="96" t="str">
        <x:v>Cigarkoneser</x:v>
      </x:c>
      <x:c r="E224" s="96" t="str">
        <x:v>S5 — Cygara i trafiki premium</x:v>
      </x:c>
      <x:c r="F224" s="96" t="str">
        <x:v>Nieustalony</x:v>
      </x:c>
      <x:c r="G224" s="96" t="str"/>
      <x:c r="H224" s="96" t="str"/>
      <x:c r="I224" s="96" t="str">
        <x:v>https://www.cigarkoneser.pl</x:v>
      </x:c>
      <x:c r="J224" s="96" t="str">
        <x:v>email, telefon</x:v>
      </x:c>
      <x:c r="K224" s="96" t="str">
        <x:v>Archiwum lub weryfikacja przy okazji</x:v>
      </x:c>
      <x:c r="L224" s="96" t="str">
        <x:v>Do weryfikacji</x:v>
      </x:c>
      <x:c r="M224" s="96" t="str">
        <x:v>https://www.cigarkoneser.pl</x:v>
      </x:c>
      <x:c r="N224" s="97" t="str">
        <x:v>Automatycznie pobrane przez skrypt. | Status źródłowy: Aktywny</x:v>
      </x:c>
    </x:row>
  </x:sheetData>
  <x:mergeCells>
    <x:mergeCell ref="A1:N1"/>
  </x:mergeCells>
  <x:conditionalFormatting sqref="B3:B2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422e077da274f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2" hidden="0" customWidth="1"/>
    <x:col min="4" max="4" width="52" hidden="0" customWidth="1"/>
    <x:col min="5" max="5" width="14" hidden="0" customWidth="1"/>
    <x:col min="6" max="6" width="14" hidden="0" customWidth="1"/>
  </x:cols>
  <x:sheetData>
    <x:row r="1" ht="19.200000762939453" hidden="0" customHeight="1">
      <x:c r="A1" s="49" t="str">
        <x:v>BILLS — model scoringu i zasady pracy z katalogiem</x:v>
      </x:c>
      <x:c r="B1" s="49"/>
      <x:c r="C1" s="49"/>
      <x:c r="D1" s="49"/>
      <x:c r="E1" s="49"/>
      <x:c r="F1" s="49"/>
    </x:row>
    <x:row r="2" ht="15" hidden="0" customHeight="1">
      <x:c r="A2" s="50"/>
      <x:c r="B2" s="50"/>
      <x:c r="C2" s="50"/>
      <x:c r="D2" s="50"/>
      <x:c r="E2" s="50"/>
      <x:c r="F2" s="50"/>
    </x:row>
    <x:row r="3" ht="26.399999618530273" hidden="0" customHeight="1">
      <x:c r="A3" s="51" t="str">
        <x:v>Parametr kampanii</x:v>
      </x:c>
      <x:c r="B3" s="51" t="str">
        <x:v>Wartość</x:v>
      </x:c>
      <x:c r="C3" s="50"/>
      <x:c r="D3" s="50"/>
      <x:c r="E3" s="50"/>
      <x:c r="F3" s="50"/>
    </x:row>
    <x:row r="4" ht="15" hidden="0" customHeight="1">
      <x:c r="A4" s="50" t="str">
        <x:v>Start A1</x:v>
      </x:c>
      <x:c r="B4" s="52" t="n">
        <x:v>46223</x:v>
      </x:c>
      <x:c r="C4" s="50"/>
      <x:c r="D4" s="50"/>
      <x:c r="E4" s="50"/>
      <x:c r="F4" s="50"/>
    </x:row>
    <x:row r="5" ht="15" hidden="0" customHeight="1">
      <x:c r="A5" s="50" t="str">
        <x:v>Termin A2</x:v>
      </x:c>
      <x:c r="B5" s="52" t="n">
        <x:v>46227</x:v>
      </x:c>
      <x:c r="C5" s="50"/>
      <x:c r="D5" s="50"/>
      <x:c r="E5" s="50"/>
      <x:c r="F5" s="50"/>
    </x:row>
    <x:row r="6" ht="15" hidden="0" customHeight="1">
      <x:c r="A6" s="50" t="str">
        <x:v>Start kampanii B</x:v>
      </x:c>
      <x:c r="B6" s="52" t="n">
        <x:v>46234</x:v>
      </x:c>
      <x:c r="C6" s="50"/>
      <x:c r="D6" s="50"/>
      <x:c r="E6" s="50"/>
      <x:c r="F6" s="50"/>
    </x:row>
    <x:row r="7" ht="15" hidden="0" customHeight="1">
      <x:c r="A7" s="50"/>
      <x:c r="B7" s="50"/>
      <x:c r="C7" s="50"/>
      <x:c r="D7" s="50"/>
      <x:c r="E7" s="50"/>
      <x:c r="F7" s="50"/>
    </x:row>
    <x:row r="8" ht="26.399999618530273" hidden="0" customHeight="1">
      <x:c r="A8" s="53" t="str">
        <x:v>Składnik</x:v>
      </x:c>
      <x:c r="B8" s="54" t="str">
        <x:v>Maks. punkty</x:v>
      </x:c>
      <x:c r="C8" s="54" t="str">
        <x:v>Znaczenie</x:v>
      </x:c>
      <x:c r="D8" s="55" t="str">
        <x:v>Logika</x:v>
      </x:c>
      <x:c r="E8" s="50"/>
      <x:c r="F8" s="50"/>
    </x:row>
    <x:row r="9" ht="15" hidden="0" customHeight="1">
      <x:c r="A9" s="56" t="str">
        <x:v>Dopasowanie produktu</x:v>
      </x:c>
      <x:c r="B9" s="50" t="n">
        <x:v>30</x:v>
      </x:c>
      <x:c r="C9" s="50" t="str">
        <x:v>Czy firma sprzedaje gilzy, tytoń, akcesoria, nabijarki lub produkty RYO/MYO.</x:v>
      </x:c>
      <x:c r="D9" s="57" t="str">
        <x:v>S1 = najwyżej; kanały sąsiednie otrzymują mniej.</x:v>
      </x:c>
      <x:c r="E9" s="50"/>
      <x:c r="F9" s="50"/>
    </x:row>
    <x:row r="10" ht="15" hidden="0" customHeight="1">
      <x:c r="A10" s="56" t="str">
        <x:v>Siła kanału</x:v>
      </x:c>
      <x:c r="B10" s="50" t="n">
        <x:v>20</x:v>
      </x:c>
      <x:c r="C10" s="50" t="str">
        <x:v>Zdolność do dalszej dystrybucji.</x:v>
      </x:c>
      <x:c r="D10" s="57" t="str">
        <x:v>Importer i dystrybutor krajowy &gt; hurt ogólnopolski &gt; hurt regionalny &gt; detal.</x:v>
      </x:c>
      <x:c r="E10" s="50"/>
      <x:c r="F10" s="50"/>
    </x:row>
    <x:row r="11" ht="15" hidden="0" customHeight="1">
      <x:c r="A11" s="56" t="str">
        <x:v>Skala/zasięg</x:v>
      </x:c>
      <x:c r="B11" s="50" t="n">
        <x:v>15</x:v>
      </x:c>
      <x:c r="C11" s="50" t="str">
        <x:v>Zasięg geograficzny, liczba sklepów i wielkość firmy.</x:v>
      </x:c>
      <x:c r="D11" s="57" t="str">
        <x:v>Ogólnopolska/duża sieć otrzymuje pełną punktację.</x:v>
      </x:c>
      <x:c r="E11" s="50"/>
      <x:c r="F11" s="50"/>
    </x:row>
    <x:row r="12" ht="15" hidden="0" customHeight="1">
      <x:c r="A12" s="56" t="str">
        <x:v>Kontaktowalność</x:v>
      </x:c>
      <x:c r="B12" s="50" t="n">
        <x:v>15</x:v>
      </x:c>
      <x:c r="C12" s="50" t="str">
        <x:v>Czy można szybko rozpocząć sprzedaż.</x:v>
      </x:c>
      <x:c r="D12" s="57" t="str">
        <x:v>Email 6, telefon 4, strona 3, pełny adres 2.</x:v>
      </x:c>
      <x:c r="E12" s="50"/>
      <x:c r="F12" s="50"/>
    </x:row>
    <x:row r="13" ht="15" hidden="0" customHeight="1">
      <x:c r="A13" s="56" t="str">
        <x:v>Gotowość B2B</x:v>
      </x:c>
      <x:c r="B13" s="50" t="n">
        <x:v>10</x:v>
      </x:c>
      <x:c r="C13" s="50" t="str">
        <x:v>Czy firma deklaruje hurt, B2B lub dystrybucję.</x:v>
      </x:c>
      <x:c r="D13" s="57" t="str">
        <x:v>Potwierdzone B2B = 10; prawdopodobna hurtownia = 8.</x:v>
      </x:c>
      <x:c r="E13" s="50"/>
      <x:c r="F13" s="50"/>
    </x:row>
    <x:row r="14" ht="15" hidden="0" customHeight="1">
      <x:c r="A14" s="56" t="str">
        <x:v>Wiarygodność danych</x:v>
      </x:c>
      <x:c r="B14" s="50" t="n">
        <x:v>10</x:v>
      </x:c>
      <x:c r="C14" s="50" t="str">
        <x:v>Jakość i aktualność źródeł.</x:v>
      </x:c>
      <x:c r="D14" s="57" t="str">
        <x:v>Oficjalna aktywna strona = najwyżej; katalog bez potwierdzenia = nisko.</x:v>
      </x:c>
      <x:c r="E14" s="50"/>
      <x:c r="F14" s="50"/>
    </x:row>
    <x:row r="15" ht="15" hidden="0" customHeight="1">
      <x:c r="A15" s="58" t="str">
        <x:v>Kara ryzyka</x:v>
      </x:c>
      <x:c r="B15" s="59" t="str">
        <x:v>0–100</x:v>
      </x:c>
      <x:c r="C15" s="59" t="str">
        <x:v>Konflikt produktowy, brak potwierdzenia, rekord własny lub firma spoza Polski.</x:v>
      </x:c>
      <x:c r="D15" s="60" t="str">
        <x:v>Odejmowana od wyniku brutto.</x:v>
      </x:c>
      <x:c r="E15" s="50"/>
      <x:c r="F15" s="50"/>
    </x:row>
    <x:row r="16" ht="15" hidden="0" customHeight="1">
      <x:c r="A16" s="50"/>
      <x:c r="B16" s="50"/>
      <x:c r="C16" s="50"/>
      <x:c r="D16" s="50"/>
      <x:c r="E16" s="50"/>
      <x:c r="F16" s="50"/>
    </x:row>
    <x:row r="17" ht="26.399999618530273" hidden="0" customHeight="1">
      <x:c r="A17" s="53" t="str">
        <x:v>Próg</x:v>
      </x:c>
      <x:c r="B17" s="54" t="str">
        <x:v>Zakres</x:v>
      </x:c>
      <x:c r="C17" s="54" t="str">
        <x:v>Znaczenie</x:v>
      </x:c>
      <x:c r="D17" s="55" t="str">
        <x:v>Domyślne działanie</x:v>
      </x:c>
      <x:c r="E17" s="50"/>
      <x:c r="F17" s="50"/>
    </x:row>
    <x:row r="18" ht="15" hidden="0" customHeight="1">
      <x:c r="A18" s="56" t="str">
        <x:v>A1</x:v>
      </x:c>
      <x:c r="B18" s="50" t="str">
        <x:v>82–100</x:v>
      </x:c>
      <x:c r="C18" s="50" t="str">
        <x:v>Najwyższy potencjał i dobra możliwość kontaktu.</x:v>
      </x:c>
      <x:c r="D18" s="57" t="str">
        <x:v>Telefon + personalizowany e-mail tego samego dnia.</x:v>
      </x:c>
      <x:c r="E18" s="50"/>
      <x:c r="F18" s="50"/>
    </x:row>
    <x:row r="19" ht="15" hidden="0" customHeight="1">
      <x:c r="A19" s="56" t="str">
        <x:v>A2</x:v>
      </x:c>
      <x:c r="B19" s="50" t="str">
        <x:v>72–81</x:v>
      </x:c>
      <x:c r="C19" s="50" t="str">
        <x:v>Wysoki potencjał; kontakt w pierwszym tygodniu.</x:v>
      </x:c>
      <x:c r="D19" s="57" t="str">
        <x:v>E-mail + telefon follow-up w 48 godzin.</x:v>
      </x:c>
      <x:c r="E19" s="50"/>
      <x:c r="F19" s="50"/>
    </x:row>
    <x:row r="20" ht="15" hidden="0" customHeight="1">
      <x:c r="A20" s="56" t="str">
        <x:v>B</x:v>
      </x:c>
      <x:c r="B20" s="50" t="str">
        <x:v>58–71</x:v>
      </x:c>
      <x:c r="C20" s="50" t="str">
        <x:v>Dobry lead do kampanii regionalnej.</x:v>
      </x:c>
      <x:c r="D20" s="57" t="str">
        <x:v>Sekwencja regionalna i follow-up.</x:v>
      </x:c>
      <x:c r="E20" s="50"/>
      <x:c r="F20" s="50"/>
    </x:row>
    <x:row r="21" ht="15" hidden="0" customHeight="1">
      <x:c r="A21" s="56" t="str">
        <x:v>C</x:v>
      </x:c>
      <x:c r="B21" s="50" t="str">
        <x:v>42–57</x:v>
      </x:c>
      <x:c r="C21" s="50" t="str">
        <x:v>Lead wymaga weryfikacji lub nurturigu.</x:v>
      </x:c>
      <x:c r="D21" s="57" t="str">
        <x:v>Sprawdzenie danych i produktów przed kontaktem.</x:v>
      </x:c>
      <x:c r="E21" s="50"/>
      <x:c r="F21" s="50"/>
    </x:row>
    <x:row r="22" ht="15" hidden="0" customHeight="1">
      <x:c r="A22" s="58" t="str">
        <x:v>D</x:v>
      </x:c>
      <x:c r="B22" s="59" t="str">
        <x:v>0–41</x:v>
      </x:c>
      <x:c r="C22" s="59" t="str">
        <x:v>Niski fit, słabe dane lub wykluczenie.</x:v>
      </x:c>
      <x:c r="D22" s="60" t="str">
        <x:v>Archiwum albo weryfikacja okazjonalna.</x:v>
      </x:c>
      <x:c r="E22" s="50"/>
      <x:c r="F22" s="50"/>
    </x:row>
    <x:row r="23" ht="15" hidden="0" customHeight="1">
      <x:c r="A23" s="50"/>
      <x:c r="B23" s="50"/>
      <x:c r="C23" s="50"/>
      <x:c r="D23" s="50"/>
      <x:c r="E23" s="50"/>
      <x:c r="F23" s="50"/>
    </x:row>
    <x:row r="24" ht="26.399999618530273" hidden="0" customHeight="1">
      <x:c r="A24" s="53" t="str">
        <x:v>Kod</x:v>
      </x:c>
      <x:c r="B24" s="54" t="str">
        <x:v>Segment</x:v>
      </x:c>
      <x:c r="C24" s="55" t="str">
        <x:v>Znaczenie dla BILLS</x:v>
      </x:c>
      <x:c r="D24" s="50"/>
      <x:c r="E24" s="50"/>
      <x:c r="F24" s="50"/>
    </x:row>
    <x:row r="25" ht="15" hidden="0" customHeight="1">
      <x:c r="A25" s="56" t="str">
        <x:v>S1</x:v>
      </x:c>
      <x:c r="B25" s="50" t="str">
        <x:v>RYO/MYO, gilzy i nabijarki</x:v>
      </x:c>
      <x:c r="C25" s="57" t="str">
        <x:v>Rdzeń katalogu: najwyższe prawdopodobieństwo sprzedaży Powermatic/Hawk-Matic.</x:v>
      </x:c>
      <x:c r="D25" s="50"/>
      <x:c r="E25" s="50"/>
      <x:c r="F25" s="50"/>
    </x:row>
    <x:row r="26" ht="15" hidden="0" customHeight="1">
      <x:c r="A26" s="56" t="str">
        <x:v>S2</x:v>
      </x:c>
      <x:c r="B26" s="50" t="str">
        <x:v>Hurtownie tytoniowe/FMCG</x:v>
      </x:c>
      <x:c r="C26" s="57" t="str">
        <x:v>Dostęp do kiosków, trafik, sklepów spożywczych i stacji.</x:v>
      </x:c>
      <x:c r="D26" s="50"/>
      <x:c r="E26" s="50"/>
      <x:c r="F26" s="50"/>
    </x:row>
    <x:row r="27" ht="15" hidden="0" customHeight="1">
      <x:c r="A27" s="56" t="str">
        <x:v>S3</x:v>
      </x:c>
      <x:c r="B27" s="50" t="str">
        <x:v>Akcesoria dla palaczy/headshop</x:v>
      </x:c>
      <x:c r="C27" s="57" t="str">
        <x:v>Naturalny cross-sell: zapalniczki, bletki, bonga, shisha, papierośnice.</x:v>
      </x:c>
      <x:c r="D27" s="50"/>
      <x:c r="E27" s="50"/>
      <x:c r="F27" s="50"/>
    </x:row>
    <x:row r="28" ht="15" hidden="0" customHeight="1">
      <x:c r="A28" s="56" t="str">
        <x:v>S4</x:v>
      </x:c>
      <x:c r="B28" s="50" t="str">
        <x:v>Vape/e-papierosy</x:v>
      </x:c>
      <x:c r="C28" s="57" t="str">
        <x:v>Kanał sąsiedni; niższy fit, ale rozwinięta dystrybucja B2B.</x:v>
      </x:c>
      <x:c r="D28" s="50"/>
      <x:c r="E28" s="50"/>
      <x:c r="F28" s="50"/>
    </x:row>
    <x:row r="29" ht="15" hidden="0" customHeight="1">
      <x:c r="A29" s="56" t="str">
        <x:v>S5</x:v>
      </x:c>
      <x:c r="B29" s="50" t="str">
        <x:v>Cygara i trafiki premium</x:v>
      </x:c>
      <x:c r="C29" s="57" t="str">
        <x:v>Mniejszy wolumen, potencjalnie wyższa marża i specjalistyczny klient.</x:v>
      </x:c>
      <x:c r="D29" s="50"/>
      <x:c r="E29" s="50"/>
      <x:c r="F29" s="50"/>
    </x:row>
    <x:row r="30" ht="15" hidden="0" customHeight="1">
      <x:c r="A30" s="56" t="str">
        <x:v>S6</x:v>
      </x:c>
      <x:c r="B30" s="50" t="str">
        <x:v>Retail/e-commerce</x:v>
      </x:c>
      <x:c r="C30" s="57" t="str">
        <x:v>Kanał do szybkiego testu sprzedaży i widoczności online.</x:v>
      </x:c>
      <x:c r="D30" s="50"/>
      <x:c r="E30" s="50"/>
      <x:c r="F30" s="50"/>
    </x:row>
    <x:row r="31" ht="15" hidden="0" customHeight="1">
      <x:c r="A31" s="58" t="str">
        <x:v>S7</x:v>
      </x:c>
      <x:c r="B31" s="59" t="str">
        <x:v>Pozostałe/niezweryfikowane</x:v>
      </x:c>
      <x:c r="C31" s="60" t="str">
        <x:v>Wymaga ręcznej weryfikacji przed użyciem sprzedażowym.</x:v>
      </x:c>
      <x:c r="D31" s="50"/>
      <x:c r="E31" s="50"/>
      <x:c r="F31" s="50"/>
    </x:row>
    <x:row r="32" ht="15" hidden="0" customHeight="1">
      <x:c r="A32" s="50"/>
      <x:c r="B32" s="50"/>
      <x:c r="C32" s="50"/>
      <x:c r="D32" s="50"/>
      <x:c r="E32" s="50"/>
      <x:c r="F32" s="50"/>
    </x:row>
    <x:row r="33" ht="66" hidden="0" customHeight="1">
      <x:c r="A33" s="61" t="str">
        <x:v>Właściciel katalogu</x:v>
      </x:c>
      <x:c r="B33" s="62" t="str">
        <x:v>BILLS Sp. z o.o. — dział sprzedaży hurtowej</x:v>
      </x:c>
      <x:c r="C33" s="62" t="str"/>
      <x:c r="D33" s="62" t="str"/>
      <x:c r="E33" s="62" t="str"/>
      <x:c r="F33" s="62" t="str"/>
    </x:row>
    <x:row r="34" ht="39.599998474121094" hidden="0" customHeight="1">
      <x:c r="A34" s="61" t="str">
        <x:v>Kontakt właściciela</x:v>
      </x:c>
      <x:c r="B34" s="62" t="str">
        <x:v>hurt@bills.pl</x:v>
      </x:c>
      <x:c r="C34" s="62" t="str"/>
      <x:c r="D34" s="62" t="str"/>
      <x:c r="E34" s="62" t="str"/>
      <x:c r="F34" s="62" t="str"/>
    </x:row>
    <x:row r="35" ht="250.8000030517578" hidden="0" customHeight="1">
      <x:c r="A35" s="61" t="str">
        <x:v>Zastrzeżenie</x:v>
      </x:c>
      <x:c r="B35" s="62" t="str">
        <x:v>Scoring jest oceną sprzedażową opartą na dostępnych danych publicznych; przed ofertą należy potwierdzić status firmy, osobę decyzyjną i aktualny asortyment.</x:v>
      </x:c>
      <x:c r="C35" s="62" t="str"/>
      <x:c r="D35" s="62" t="str"/>
      <x:c r="E35" s="62" t="str"/>
      <x:c r="F35" s="62" t="str"/>
    </x:row>
  </x:sheetData>
  <x:mergeCells>
    <x:mergeCell ref="A1:F1"/>
  </x:mergeCells>
  <x:pageMargins left="0.7" right="0.7" top="0.75" bottom="0.75" header="0.3" footer="0.3"/>
</x:worksheet>
</file>